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/>
  <workbookPr codeName="ThisWorkbook"/>
  <bookViews>
    <workbookView xWindow="0" yWindow="0" windowWidth="21840" windowHeight="12300" activeTab="4"/>
  </bookViews>
  <sheets>
    <sheet name="Dashboard" sheetId="3" r:id="rId1"/>
    <sheet name="Unit" sheetId="5" r:id="rId2"/>
    <sheet name="Recipes" sheetId="4" r:id="rId3"/>
    <sheet name="Pay" sheetId="7" r:id="rId4"/>
    <sheet name="Statistic" sheetId="8" r:id="rId5"/>
    <sheet name="THNL" sheetId="9" r:id="rId6"/>
  </sheets>
  <definedNames>
    <definedName name="danhsach_banhgung">Recipes!$M$6:$O$13</definedName>
    <definedName name="danhsach_banhnuong">Recipes!$H$6:$J$15</definedName>
    <definedName name="danhsach_banhque">Recipes!$H$25:$J$33</definedName>
    <definedName name="danhsach_banhquy">Recipes!$C$6:$E$14</definedName>
    <definedName name="danhsach_congthucmoi">Recipes!$M$25:$O$35</definedName>
    <definedName name="danhsach_sungbo">Recipes!$C$25:$E$33</definedName>
    <definedName name="DONVI">Table13[]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8" l="1"/>
  <c r="F14" i="8" s="1"/>
  <c r="F8" i="8"/>
  <c r="F13" i="8" s="1"/>
  <c r="F7" i="8"/>
  <c r="F12" i="8" s="1"/>
  <c r="F6" i="8"/>
  <c r="E9" i="8"/>
  <c r="E14" i="8" s="1"/>
  <c r="E8" i="8"/>
  <c r="E7" i="8"/>
  <c r="E6" i="8"/>
  <c r="E5" i="8"/>
  <c r="D9" i="8"/>
  <c r="D8" i="8"/>
  <c r="D7" i="8"/>
  <c r="D6" i="8"/>
  <c r="D5" i="8"/>
  <c r="C9" i="8"/>
  <c r="C8" i="8"/>
  <c r="C7" i="8"/>
  <c r="C6" i="8"/>
  <c r="F5" i="8"/>
  <c r="C5" i="8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5" i="7"/>
  <c r="K5" i="7" l="1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A3" i="9" l="1"/>
  <c r="F3" i="9" s="1"/>
  <c r="A4" i="9"/>
  <c r="E4" i="9" s="1"/>
  <c r="A5" i="9"/>
  <c r="C5" i="9" s="1"/>
  <c r="A6" i="9"/>
  <c r="C6" i="9" s="1"/>
  <c r="A7" i="9"/>
  <c r="C7" i="9" s="1"/>
  <c r="A8" i="9"/>
  <c r="D8" i="9" s="1"/>
  <c r="A9" i="9"/>
  <c r="F9" i="9" s="1"/>
  <c r="A10" i="9"/>
  <c r="D10" i="9" s="1"/>
  <c r="A11" i="9"/>
  <c r="B11" i="9" s="1"/>
  <c r="A12" i="9"/>
  <c r="B12" i="9" s="1"/>
  <c r="A13" i="9"/>
  <c r="G13" i="9" s="1"/>
  <c r="A14" i="9"/>
  <c r="E14" i="9" s="1"/>
  <c r="A15" i="9"/>
  <c r="F15" i="9" s="1"/>
  <c r="A16" i="9"/>
  <c r="E16" i="9" s="1"/>
  <c r="A17" i="9"/>
  <c r="C17" i="9" s="1"/>
  <c r="A18" i="9"/>
  <c r="C18" i="9" s="1"/>
  <c r="A19" i="9"/>
  <c r="C19" i="9" s="1"/>
  <c r="A2" i="9"/>
  <c r="E2" i="9" s="1"/>
  <c r="G3" i="9"/>
  <c r="G4" i="9"/>
  <c r="G5" i="9"/>
  <c r="G6" i="9"/>
  <c r="G8" i="9"/>
  <c r="G9" i="9"/>
  <c r="G11" i="9"/>
  <c r="G15" i="9"/>
  <c r="G16" i="9"/>
  <c r="F8" i="9"/>
  <c r="F14" i="9"/>
  <c r="E3" i="9"/>
  <c r="E8" i="9"/>
  <c r="E9" i="9"/>
  <c r="E15" i="9"/>
  <c r="D3" i="9"/>
  <c r="D9" i="9"/>
  <c r="D15" i="9"/>
  <c r="C3" i="9"/>
  <c r="C4" i="9"/>
  <c r="C8" i="9"/>
  <c r="C9" i="9"/>
  <c r="C14" i="9"/>
  <c r="C15" i="9"/>
  <c r="C16" i="9"/>
  <c r="B3" i="9"/>
  <c r="B8" i="9"/>
  <c r="B9" i="9"/>
  <c r="B10" i="9"/>
  <c r="B14" i="9"/>
  <c r="B15" i="9"/>
  <c r="B4" i="9" l="1"/>
  <c r="D14" i="9"/>
  <c r="G18" i="9"/>
  <c r="C2" i="9"/>
  <c r="G14" i="9"/>
  <c r="G12" i="9"/>
  <c r="B16" i="9"/>
  <c r="C10" i="9"/>
  <c r="G10" i="9"/>
  <c r="F19" i="9"/>
  <c r="F7" i="9"/>
  <c r="D19" i="9"/>
  <c r="D7" i="9"/>
  <c r="E13" i="9"/>
  <c r="F18" i="9"/>
  <c r="F6" i="9"/>
  <c r="B19" i="9"/>
  <c r="B7" i="9"/>
  <c r="C13" i="9"/>
  <c r="D18" i="9"/>
  <c r="D6" i="9"/>
  <c r="E12" i="9"/>
  <c r="F17" i="9"/>
  <c r="F5" i="9"/>
  <c r="B18" i="9"/>
  <c r="B6" i="9"/>
  <c r="C12" i="9"/>
  <c r="D17" i="9"/>
  <c r="D5" i="9"/>
  <c r="E11" i="9"/>
  <c r="F16" i="9"/>
  <c r="F4" i="9"/>
  <c r="B17" i="9"/>
  <c r="B5" i="9"/>
  <c r="C11" i="9"/>
  <c r="D16" i="9"/>
  <c r="D4" i="9"/>
  <c r="E10" i="9"/>
  <c r="G7" i="9"/>
  <c r="G19" i="9"/>
  <c r="F13" i="9"/>
  <c r="D13" i="9"/>
  <c r="E19" i="9"/>
  <c r="E7" i="9"/>
  <c r="F12" i="9"/>
  <c r="G17" i="9"/>
  <c r="B13" i="9"/>
  <c r="D12" i="9"/>
  <c r="E18" i="9"/>
  <c r="E6" i="9"/>
  <c r="F11" i="9"/>
  <c r="D11" i="9"/>
  <c r="E17" i="9"/>
  <c r="E5" i="9"/>
  <c r="F10" i="9"/>
  <c r="G2" i="9"/>
  <c r="D2" i="9"/>
  <c r="B2" i="9"/>
  <c r="F2" i="9"/>
  <c r="P40" i="4"/>
  <c r="O40" i="4"/>
  <c r="N40" i="4"/>
  <c r="M40" i="4"/>
  <c r="K40" i="4"/>
  <c r="J40" i="4"/>
  <c r="I40" i="4"/>
  <c r="H40" i="4"/>
  <c r="F40" i="4"/>
  <c r="E40" i="4"/>
  <c r="D40" i="4"/>
  <c r="C40" i="4"/>
  <c r="P19" i="4"/>
  <c r="O19" i="4"/>
  <c r="N19" i="4"/>
  <c r="M19" i="4"/>
  <c r="D19" i="4"/>
  <c r="K19" i="4"/>
  <c r="J19" i="4"/>
  <c r="H19" i="4"/>
  <c r="F19" i="4"/>
  <c r="E19" i="4"/>
  <c r="C19" i="4"/>
  <c r="O26" i="4"/>
  <c r="O27" i="4"/>
  <c r="O28" i="4"/>
  <c r="O29" i="4"/>
  <c r="O30" i="4"/>
  <c r="O31" i="4"/>
  <c r="O32" i="4"/>
  <c r="O33" i="4"/>
  <c r="O34" i="4"/>
  <c r="O35" i="4"/>
  <c r="O25" i="4"/>
  <c r="J26" i="4"/>
  <c r="J27" i="4"/>
  <c r="J28" i="4"/>
  <c r="J29" i="4"/>
  <c r="J30" i="4"/>
  <c r="J31" i="4"/>
  <c r="J32" i="4"/>
  <c r="J33" i="4"/>
  <c r="J25" i="4"/>
  <c r="E26" i="4"/>
  <c r="E27" i="4"/>
  <c r="E28" i="4"/>
  <c r="E29" i="4"/>
  <c r="E30" i="4"/>
  <c r="E31" i="4"/>
  <c r="E32" i="4"/>
  <c r="E33" i="4"/>
  <c r="E25" i="4"/>
  <c r="O7" i="4"/>
  <c r="O8" i="4"/>
  <c r="O9" i="4"/>
  <c r="O10" i="4"/>
  <c r="O11" i="4"/>
  <c r="O12" i="4"/>
  <c r="O13" i="4"/>
  <c r="O6" i="4"/>
  <c r="J7" i="4"/>
  <c r="J8" i="4"/>
  <c r="J9" i="4"/>
  <c r="J10" i="4"/>
  <c r="J11" i="4"/>
  <c r="J12" i="4"/>
  <c r="J13" i="4"/>
  <c r="J14" i="4"/>
  <c r="J15" i="4"/>
  <c r="J6" i="4"/>
  <c r="E7" i="4"/>
  <c r="E8" i="4"/>
  <c r="E9" i="4"/>
  <c r="E10" i="4"/>
  <c r="E11" i="4"/>
  <c r="E12" i="4"/>
  <c r="E13" i="4"/>
  <c r="E14" i="4"/>
  <c r="E6" i="4"/>
  <c r="J13" i="7" l="1"/>
  <c r="C33" i="7"/>
  <c r="C18" i="7"/>
  <c r="B7" i="3" l="1"/>
  <c r="C16" i="7" l="1"/>
  <c r="D40" i="7" l="1"/>
  <c r="G40" i="7"/>
  <c r="E40" i="7"/>
  <c r="F40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2" i="7"/>
  <c r="C31" i="7"/>
  <c r="C30" i="7"/>
  <c r="C29" i="7"/>
  <c r="J22" i="7"/>
  <c r="C22" i="7"/>
  <c r="J21" i="7"/>
  <c r="C21" i="7"/>
  <c r="J20" i="7"/>
  <c r="C20" i="7"/>
  <c r="J19" i="7"/>
  <c r="C19" i="7"/>
  <c r="J18" i="7"/>
  <c r="J17" i="7"/>
  <c r="C17" i="7"/>
  <c r="J16" i="7"/>
  <c r="J15" i="7"/>
  <c r="C15" i="7"/>
  <c r="J14" i="7"/>
  <c r="C14" i="7"/>
  <c r="C13" i="7"/>
  <c r="J12" i="7"/>
  <c r="C12" i="7"/>
  <c r="J11" i="7"/>
  <c r="C11" i="7"/>
  <c r="J10" i="7"/>
  <c r="C10" i="7"/>
  <c r="J9" i="7"/>
  <c r="C9" i="7"/>
  <c r="J8" i="7"/>
  <c r="C8" i="7"/>
  <c r="J7" i="7"/>
  <c r="C7" i="7"/>
  <c r="J6" i="7"/>
  <c r="C6" i="7"/>
  <c r="J5" i="7"/>
  <c r="C5" i="7"/>
  <c r="E20" i="3"/>
  <c r="B20" i="3"/>
  <c r="E19" i="3"/>
  <c r="B19" i="3"/>
  <c r="E18" i="3"/>
  <c r="B18" i="3"/>
  <c r="E17" i="3"/>
  <c r="B17" i="3"/>
  <c r="E16" i="3"/>
  <c r="B16" i="3"/>
  <c r="E15" i="3"/>
  <c r="B15" i="3"/>
  <c r="E10" i="3"/>
  <c r="B10" i="3"/>
  <c r="E9" i="3"/>
  <c r="B9" i="3"/>
  <c r="E8" i="3"/>
  <c r="B8" i="3"/>
  <c r="E7" i="3"/>
  <c r="E6" i="3"/>
  <c r="B6" i="3"/>
  <c r="E5" i="3"/>
  <c r="B5" i="3"/>
  <c r="D37" i="7" l="1"/>
  <c r="F37" i="7"/>
  <c r="G37" i="7"/>
  <c r="E37" i="7"/>
  <c r="D32" i="7"/>
  <c r="F32" i="7"/>
  <c r="G32" i="7"/>
  <c r="E32" i="7"/>
  <c r="D39" i="7"/>
  <c r="E39" i="7"/>
  <c r="F39" i="7"/>
  <c r="G39" i="7"/>
  <c r="D46" i="7"/>
  <c r="G46" i="7"/>
  <c r="E46" i="7"/>
  <c r="F46" i="7"/>
  <c r="D45" i="7"/>
  <c r="E45" i="7"/>
  <c r="G45" i="7"/>
  <c r="F45" i="7"/>
  <c r="D30" i="7"/>
  <c r="F30" i="7"/>
  <c r="G30" i="7"/>
  <c r="E30" i="7"/>
  <c r="D31" i="7"/>
  <c r="F31" i="7"/>
  <c r="G31" i="7"/>
  <c r="E31" i="7"/>
  <c r="D44" i="7"/>
  <c r="G44" i="7"/>
  <c r="F44" i="7"/>
  <c r="E44" i="7"/>
  <c r="D38" i="7"/>
  <c r="F38" i="7"/>
  <c r="G38" i="7"/>
  <c r="E38" i="7"/>
  <c r="D41" i="7"/>
  <c r="E41" i="7"/>
  <c r="F41" i="7"/>
  <c r="G41" i="7"/>
  <c r="D33" i="7"/>
  <c r="G33" i="7"/>
  <c r="E33" i="7"/>
  <c r="F33" i="7"/>
  <c r="D34" i="7"/>
  <c r="G34" i="7"/>
  <c r="F34" i="7"/>
  <c r="E34" i="7"/>
  <c r="D36" i="7"/>
  <c r="E36" i="7"/>
  <c r="F36" i="7"/>
  <c r="G36" i="7"/>
  <c r="D35" i="7"/>
  <c r="F35" i="7"/>
  <c r="E35" i="7"/>
  <c r="G35" i="7"/>
  <c r="E42" i="7"/>
  <c r="F42" i="7"/>
  <c r="D42" i="7"/>
  <c r="G42" i="7"/>
  <c r="D29" i="7"/>
  <c r="F29" i="7"/>
  <c r="E29" i="7"/>
  <c r="G29" i="7"/>
  <c r="D43" i="7"/>
  <c r="E43" i="7"/>
  <c r="G43" i="7"/>
  <c r="F43" i="7"/>
  <c r="D13" i="8" l="1"/>
  <c r="E13" i="8"/>
  <c r="E11" i="8"/>
  <c r="F4" i="8"/>
  <c r="D11" i="8"/>
  <c r="D14" i="8"/>
  <c r="F11" i="8"/>
  <c r="D4" i="8"/>
  <c r="D12" i="8"/>
  <c r="E12" i="8"/>
  <c r="E4" i="8"/>
  <c r="C13" i="8"/>
  <c r="C14" i="8"/>
  <c r="C11" i="8"/>
  <c r="C12" i="8"/>
  <c r="C4" i="8"/>
  <c r="F10" i="8" l="1"/>
  <c r="E10" i="8"/>
  <c r="D10" i="8"/>
  <c r="C10" i="8"/>
</calcChain>
</file>

<file path=xl/sharedStrings.xml><?xml version="1.0" encoding="utf-8"?>
<sst xmlns="http://schemas.openxmlformats.org/spreadsheetml/2006/main" count="299" uniqueCount="121">
  <si>
    <t>Baking soda</t>
  </si>
  <si>
    <t>Chocolate chips</t>
  </si>
  <si>
    <t>USD</t>
  </si>
  <si>
    <t>Trứng</t>
  </si>
  <si>
    <t>Đường</t>
  </si>
  <si>
    <t>Bột mì</t>
  </si>
  <si>
    <t>Bột nở</t>
  </si>
  <si>
    <t>Muối</t>
  </si>
  <si>
    <t>Đường nâu</t>
  </si>
  <si>
    <t>Đường mật</t>
  </si>
  <si>
    <t>Bơ</t>
  </si>
  <si>
    <t>Quế</t>
  </si>
  <si>
    <t xml:space="preserve">Kem </t>
  </si>
  <si>
    <t>Đường bột</t>
  </si>
  <si>
    <t>Nước chanh</t>
  </si>
  <si>
    <t>Men</t>
  </si>
  <si>
    <t>Gừng bột</t>
  </si>
  <si>
    <t>Chén</t>
  </si>
  <si>
    <t>Thìa cà phê</t>
  </si>
  <si>
    <t>Thìa canh</t>
  </si>
  <si>
    <t>Vỉ</t>
  </si>
  <si>
    <t>Thành phần</t>
  </si>
  <si>
    <t>Đơn vị thanh toán</t>
  </si>
  <si>
    <t>Túi</t>
  </si>
  <si>
    <t>Túi 1 kg</t>
  </si>
  <si>
    <t>Hộp</t>
  </si>
  <si>
    <t>Chai</t>
  </si>
  <si>
    <t>Túi 0.1 kg</t>
  </si>
  <si>
    <t>10 Chén/Túi 1kg</t>
  </si>
  <si>
    <t>17 Chén/Túi 2 kg</t>
  </si>
  <si>
    <t>114 Thìa cà phê/Hộp 1kg</t>
  </si>
  <si>
    <t>19 Thìa canh/Túi 0.5 kg</t>
  </si>
  <si>
    <t>Túi 2 kg</t>
  </si>
  <si>
    <t>Hộp 1 kg</t>
  </si>
  <si>
    <t>Túi 0.5 kg</t>
  </si>
  <si>
    <t>Chiếc</t>
  </si>
  <si>
    <t>125 Thìa cà phê/Túi 1 kg</t>
  </si>
  <si>
    <t>Gói 0.5 kg</t>
  </si>
  <si>
    <t>2 Chén/Gói 0.5 kg</t>
  </si>
  <si>
    <t>Vani</t>
  </si>
  <si>
    <t>24 Thìa cà phê/Chai</t>
  </si>
  <si>
    <t>65 Thìa cà phê/Hộp</t>
  </si>
  <si>
    <t>2 Chén/Túi 1 kg</t>
  </si>
  <si>
    <t>8 Chén/Túi 2 kg</t>
  </si>
  <si>
    <t>30 Thìa cà phê/Chai</t>
  </si>
  <si>
    <t>10 Thìa cà phê/Túi 0.1 kg</t>
  </si>
  <si>
    <t>4 Chiếc/Túi 0.5 kg</t>
  </si>
  <si>
    <t>Quy đổi</t>
  </si>
  <si>
    <t>Giá tiền</t>
  </si>
  <si>
    <t>40000 đ/Vỉ</t>
  </si>
  <si>
    <t>20000 đ/Túi 1 kg</t>
  </si>
  <si>
    <t>40000 đ/Túi 2 kg</t>
  </si>
  <si>
    <t>20000 đ/Hộp 1 kg</t>
  </si>
  <si>
    <t>15000 đ/Túi 0.5 kg</t>
  </si>
  <si>
    <t>12 Chiếc/Túi 0.2 kg</t>
  </si>
  <si>
    <t>Túi 0.2 kg</t>
  </si>
  <si>
    <t>20000 đ/Túi 0.2 kg</t>
  </si>
  <si>
    <t>10000 đ/Túi 1kg</t>
  </si>
  <si>
    <t>50000 đ/Túi 1kg</t>
  </si>
  <si>
    <t>60000 đ/Túi 0.5 kg</t>
  </si>
  <si>
    <t>20000 đ/Gói 0.5 kg</t>
  </si>
  <si>
    <t>100000 đ/Chai</t>
  </si>
  <si>
    <t>160000 đ/Hộp</t>
  </si>
  <si>
    <t>70000 đ/Túi 1 kg</t>
  </si>
  <si>
    <t>50000 đ/Túi 2 kg</t>
  </si>
  <si>
    <t>40000 đ/Chai</t>
  </si>
  <si>
    <t>120000 đ/Túi 0.1 kg</t>
  </si>
  <si>
    <t>30000 đ/Túi</t>
  </si>
  <si>
    <t>50000 đ/Túi 0.5 kg</t>
  </si>
  <si>
    <t>Quả</t>
  </si>
  <si>
    <t>12 Quả/Vỉ</t>
  </si>
  <si>
    <t>Đơn vị</t>
  </si>
  <si>
    <t>ĐƠN VỊ</t>
  </si>
  <si>
    <t>Số lượng:</t>
  </si>
  <si>
    <t>Bánh quy sô cô la</t>
  </si>
  <si>
    <t>Bánh nướng với men chanh</t>
  </si>
  <si>
    <t>Bánh quy gừng</t>
  </si>
  <si>
    <t>Bánh sừng bò sô cô la</t>
  </si>
  <si>
    <t>Bánh quế</t>
  </si>
  <si>
    <t>Công thức mới (tuỳ chọn)</t>
  </si>
  <si>
    <t>Tiền tệ</t>
  </si>
  <si>
    <t>Tỷ lệ VND</t>
  </si>
  <si>
    <t>Tên bánh</t>
  </si>
  <si>
    <t>Số lượng</t>
  </si>
  <si>
    <t>Nguyên liệu</t>
  </si>
  <si>
    <t>Số lượng cần mua</t>
  </si>
  <si>
    <t>Số lượng cần dùng</t>
  </si>
  <si>
    <t>Thống kê</t>
  </si>
  <si>
    <t>Bột vỏ chanh</t>
  </si>
  <si>
    <t>Số tiền trung bình</t>
  </si>
  <si>
    <t>Số tiền lớn nhất</t>
  </si>
  <si>
    <t>Tuần 1</t>
  </si>
  <si>
    <t>Tuần 2</t>
  </si>
  <si>
    <t>Tuần 4</t>
  </si>
  <si>
    <t>Tuần 3</t>
  </si>
  <si>
    <t>Số lượng bánh cần mua  tuần 1</t>
  </si>
  <si>
    <t>Số lượng bánh cần mua  tuần 2</t>
  </si>
  <si>
    <t>Số lượng bánh cần mua tuần 3</t>
  </si>
  <si>
    <t>Số lượng bánh cần mua tuần 4</t>
  </si>
  <si>
    <t>Số lượng cần mua tuần 1</t>
  </si>
  <si>
    <t>Số lượng cần mua tuần 2</t>
  </si>
  <si>
    <t>Số lượng cần mua tuần 3</t>
  </si>
  <si>
    <t>Số lượng cần mua tuần 4</t>
  </si>
  <si>
    <t>Biểu đồ thể hiện xu hướng số tiền trung bình mua nguyên liệu mỗi tuần</t>
  </si>
  <si>
    <t>Đơn vị (Chén, thìa cà phê, ...)</t>
  </si>
  <si>
    <t>Quy đổi đơn vị thanh toán</t>
  </si>
  <si>
    <t>Số tiền lớn thứ hai</t>
  </si>
  <si>
    <t>Số tiền lớn thứ ba</t>
  </si>
  <si>
    <t>Số tiền lớn thứ tư</t>
  </si>
  <si>
    <t>Thành tiền</t>
  </si>
  <si>
    <t>VND</t>
  </si>
  <si>
    <t>Tổng số tiền</t>
  </si>
  <si>
    <t>Số tiền còn lại</t>
  </si>
  <si>
    <t>Tên nguyên liệu có giá tiền lớn nhất</t>
  </si>
  <si>
    <t>Tên nguyên liệu có giá tiền lớn thứ hai</t>
  </si>
  <si>
    <t>Tên nguyên liệu có giá tiền lớn thứ ba</t>
  </si>
  <si>
    <t>Tên nguyên liệu có giá tiền lớn thứ tư</t>
  </si>
  <si>
    <t>Biểu đồ so sánh số tiền mua nguyên liệu của mỗi tuần</t>
  </si>
  <si>
    <t>4,5 chén/Túi 1 kg</t>
  </si>
  <si>
    <t>1,5 Chén/Túi 0.5 kg</t>
  </si>
  <si>
    <t>2,7 Chén/Túi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</si>
</sst>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46">
    <border>
      <left/>
      <right/>
      <top/>
      <bottom/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indexed="64"/>
      </left>
      <right style="thin">
        <color theme="9" tint="-0.249977111117893"/>
      </right>
      <top style="medium">
        <color indexed="64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medium">
        <color indexed="64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indexed="64"/>
      </right>
      <top style="medium">
        <color indexed="64"/>
      </top>
      <bottom style="thin">
        <color theme="9" tint="-0.249977111117893"/>
      </bottom>
      <diagonal/>
    </border>
    <border>
      <left style="medium">
        <color indexed="64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indexed="64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indexed="64"/>
      </left>
      <right style="thin">
        <color theme="9" tint="-0.249977111117893"/>
      </right>
      <top style="thin">
        <color theme="9" tint="-0.249977111117893"/>
      </top>
      <bottom style="medium">
        <color indexed="64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indexed="64"/>
      </bottom>
      <diagonal/>
    </border>
    <border>
      <left style="thin">
        <color theme="9" tint="-0.249977111117893"/>
      </left>
      <right style="medium">
        <color indexed="64"/>
      </right>
      <top style="thin">
        <color theme="9" tint="-0.249977111117893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16">
    <xf numFmtId="0" fontId="0" fillId="0" borderId="0" xfId="0"/>
    <xf numFmtId="0" fontId="1" fillId="0" borderId="0" xfId="0" applyFont="1"/>
    <xf numFmtId="12" fontId="0" fillId="0" borderId="0" xfId="0" applyNumberFormat="1"/>
    <xf numFmtId="12" fontId="0" fillId="0" borderId="0" xfId="0" applyNumberFormat="1" applyAlignment="1">
      <alignment horizontal="center"/>
    </xf>
    <xf numFmtId="0" fontId="0" fillId="0" borderId="0" xfId="0" applyNumberFormat="1"/>
    <xf numFmtId="12" fontId="0" fillId="0" borderId="0" xfId="0" applyNumberFormat="1" applyFill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0" fillId="0" borderId="0" xfId="0"/>
    <xf numFmtId="0" fontId="1" fillId="0" borderId="1" xfId="0" applyFont="1" applyBorder="1" applyAlignment="1">
      <alignment wrapText="1"/>
    </xf>
    <xf numFmtId="0" fontId="0" fillId="0" borderId="1" xfId="0" applyBorder="1"/>
    <xf numFmtId="0" fontId="1" fillId="0" borderId="5" xfId="0" applyFont="1" applyBorder="1" applyAlignment="1">
      <alignment wrapText="1"/>
    </xf>
    <xf numFmtId="0" fontId="1" fillId="0" borderId="6" xfId="0" applyFont="1" applyBorder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10" xfId="0" applyFont="1" applyBorder="1" applyAlignment="1">
      <alignment horizontal="center" vertical="center"/>
    </xf>
    <xf numFmtId="12" fontId="0" fillId="0" borderId="10" xfId="0" applyNumberFormat="1" applyBorder="1" applyAlignment="1">
      <alignment horizontal="right"/>
    </xf>
    <xf numFmtId="12" fontId="0" fillId="0" borderId="10" xfId="0" applyNumberFormat="1" applyBorder="1" applyAlignment="1">
      <alignment horizontal="center"/>
    </xf>
    <xf numFmtId="12" fontId="0" fillId="0" borderId="10" xfId="0" applyNumberFormat="1" applyFill="1" applyBorder="1" applyAlignment="1">
      <alignment horizontal="center"/>
    </xf>
    <xf numFmtId="12" fontId="0" fillId="5" borderId="10" xfId="0" applyNumberFormat="1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0" fillId="0" borderId="14" xfId="0" applyBorder="1"/>
    <xf numFmtId="0" fontId="0" fillId="0" borderId="16" xfId="0" applyBorder="1"/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8" xfId="0" applyBorder="1"/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0" fillId="0" borderId="21" xfId="0" applyBorder="1" applyAlignment="1">
      <alignment horizontal="left"/>
    </xf>
    <xf numFmtId="0" fontId="0" fillId="3" borderId="22" xfId="0" applyFill="1" applyBorder="1" applyAlignment="1">
      <alignment horizontal="right"/>
    </xf>
    <xf numFmtId="0" fontId="0" fillId="0" borderId="23" xfId="0" applyBorder="1" applyAlignment="1">
      <alignment horizontal="left"/>
    </xf>
    <xf numFmtId="0" fontId="0" fillId="3" borderId="24" xfId="0" applyFill="1" applyBorder="1" applyAlignment="1">
      <alignment horizontal="right"/>
    </xf>
    <xf numFmtId="0" fontId="0" fillId="2" borderId="15" xfId="0" quotePrefix="1" applyFill="1" applyBorder="1"/>
    <xf numFmtId="12" fontId="0" fillId="0" borderId="17" xfId="0" applyNumberFormat="1" applyBorder="1" applyAlignment="1">
      <alignment horizontal="right"/>
    </xf>
    <xf numFmtId="12" fontId="0" fillId="0" borderId="17" xfId="0" applyNumberFormat="1" applyFill="1" applyBorder="1" applyAlignment="1">
      <alignment horizontal="center"/>
    </xf>
    <xf numFmtId="12" fontId="0" fillId="5" borderId="17" xfId="0" applyNumberFormat="1" applyFont="1" applyFill="1" applyBorder="1" applyAlignment="1">
      <alignment horizontal="center"/>
    </xf>
    <xf numFmtId="0" fontId="0" fillId="0" borderId="28" xfId="0" applyBorder="1"/>
    <xf numFmtId="0" fontId="0" fillId="0" borderId="29" xfId="0" applyBorder="1"/>
    <xf numFmtId="0" fontId="0" fillId="2" borderId="30" xfId="0" applyFill="1" applyBorder="1"/>
    <xf numFmtId="0" fontId="0" fillId="2" borderId="34" xfId="0" applyFill="1" applyBorder="1"/>
    <xf numFmtId="0" fontId="0" fillId="2" borderId="35" xfId="0" applyNumberFormat="1" applyFill="1" applyBorder="1"/>
    <xf numFmtId="0" fontId="0" fillId="2" borderId="35" xfId="0" applyFill="1" applyBorder="1"/>
    <xf numFmtId="0" fontId="0" fillId="2" borderId="36" xfId="0" applyFill="1" applyBorder="1"/>
    <xf numFmtId="0" fontId="0" fillId="0" borderId="31" xfId="0" applyFill="1" applyBorder="1" applyAlignment="1">
      <alignment horizontal="center" vertical="center"/>
    </xf>
    <xf numFmtId="12" fontId="0" fillId="0" borderId="32" xfId="0" applyNumberForma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34" xfId="0" applyBorder="1"/>
    <xf numFmtId="0" fontId="0" fillId="0" borderId="36" xfId="0" applyBorder="1"/>
    <xf numFmtId="0" fontId="0" fillId="0" borderId="41" xfId="0" applyBorder="1"/>
    <xf numFmtId="0" fontId="0" fillId="0" borderId="42" xfId="0" applyBorder="1"/>
    <xf numFmtId="0" fontId="0" fillId="0" borderId="0" xfId="0" applyBorder="1" applyAlignment="1"/>
    <xf numFmtId="164" fontId="0" fillId="2" borderId="30" xfId="1" applyFont="1" applyFill="1" applyBorder="1" applyAlignment="1">
      <alignment horizontal="right"/>
    </xf>
    <xf numFmtId="164" fontId="0" fillId="2" borderId="30" xfId="1" applyFont="1" applyFill="1" applyBorder="1"/>
    <xf numFmtId="0" fontId="1" fillId="0" borderId="30" xfId="0" applyFont="1" applyBorder="1" applyAlignment="1">
      <alignment horizontal="center" vertical="center" wrapText="1"/>
    </xf>
    <xf numFmtId="0" fontId="1" fillId="0" borderId="38" xfId="0" applyFont="1" applyBorder="1" applyAlignment="1">
      <alignment vertical="center"/>
    </xf>
    <xf numFmtId="0" fontId="1" fillId="0" borderId="39" xfId="0" applyFont="1" applyBorder="1" applyAlignment="1">
      <alignment vertical="center"/>
    </xf>
    <xf numFmtId="0" fontId="0" fillId="0" borderId="38" xfId="0" applyFont="1" applyBorder="1"/>
    <xf numFmtId="0" fontId="0" fillId="0" borderId="34" xfId="0" applyFont="1" applyBorder="1"/>
    <xf numFmtId="0" fontId="1" fillId="0" borderId="0" xfId="0" applyFont="1" applyFill="1" applyBorder="1" applyAlignment="1">
      <alignment horizontal="center" vertical="center"/>
    </xf>
    <xf numFmtId="0" fontId="0" fillId="0" borderId="0" xfId="0" applyFill="1"/>
    <xf numFmtId="12" fontId="0" fillId="0" borderId="0" xfId="0" applyNumberFormat="1" applyFill="1" applyBorder="1" applyAlignment="1">
      <alignment horizontal="center"/>
    </xf>
    <xf numFmtId="12" fontId="0" fillId="0" borderId="0" xfId="0" applyNumberFormat="1" applyFill="1" applyBorder="1"/>
    <xf numFmtId="164" fontId="0" fillId="0" borderId="0" xfId="1" applyFont="1" applyFill="1" applyBorder="1" applyAlignment="1">
      <alignment horizontal="right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0" borderId="0" xfId="0" applyFill="1" applyBorder="1" applyAlignment="1"/>
    <xf numFmtId="0" fontId="1" fillId="0" borderId="3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0" borderId="39" xfId="0" applyFill="1" applyBorder="1"/>
    <xf numFmtId="0" fontId="1" fillId="0" borderId="30" xfId="0" applyFont="1" applyBorder="1" applyAlignment="1">
      <alignment horizontal="center" vertical="center"/>
    </xf>
    <xf numFmtId="0" fontId="0" fillId="0" borderId="30" xfId="0" applyBorder="1"/>
    <xf numFmtId="0" fontId="0" fillId="0" borderId="30" xfId="0" applyNumberFormat="1" applyBorder="1"/>
    <xf numFmtId="0" fontId="1" fillId="0" borderId="30" xfId="0" applyFont="1" applyFill="1" applyBorder="1" applyAlignment="1">
      <alignment horizontal="center" vertical="center"/>
    </xf>
    <xf numFmtId="164" fontId="0" fillId="2" borderId="30" xfId="1" applyNumberFormat="1" applyFont="1" applyFill="1" applyBorder="1" applyAlignment="1">
      <alignment horizontal="right"/>
    </xf>
    <xf numFmtId="0" fontId="0" fillId="2" borderId="30" xfId="1" applyNumberFormat="1" applyFont="1" applyFill="1" applyBorder="1" applyAlignment="1">
      <alignment horizontal="right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10">
    <dxf>
      <numFmt numFmtId="165" formatCode="[$$-409]#,##0"/>
    </dxf>
    <dxf>
      <numFmt numFmtId="166" formatCode="#,##0\ &quot;₫&quot;"/>
    </dxf>
    <dxf>
      <numFmt numFmtId="167" formatCode="[$$-409]#,##0.00"/>
    </dxf>
    <dxf>
      <numFmt numFmtId="166" formatCode="#,##0\ &quot;₫&quot;"/>
    </dxf>
    <dxf>
      <border diagonalUp="0" diagonalDown="0">
        <left style="thin">
          <color theme="9" tint="-0.249977111117893"/>
        </left>
        <right/>
        <top style="thin">
          <color theme="9" tint="-0.249977111117893"/>
        </top>
        <bottom style="thin">
          <color theme="9" tint="-0.249977111117893"/>
        </bottom>
        <vertical style="thin">
          <color theme="9" tint="-0.249977111117893"/>
        </vertical>
        <horizontal style="thin">
          <color theme="9" tint="-0.249977111117893"/>
        </horizontal>
      </border>
    </dxf>
    <dxf>
      <border diagonalUp="0" diagonalDown="0">
        <left style="thin">
          <color theme="9" tint="-0.249977111117893"/>
        </left>
        <right style="thin">
          <color theme="9" tint="-0.249977111117893"/>
        </right>
        <top style="thin">
          <color theme="9" tint="-0.249977111117893"/>
        </top>
        <bottom style="thin">
          <color theme="9" tint="-0.249977111117893"/>
        </bottom>
        <vertical style="thin">
          <color theme="9" tint="-0.249977111117893"/>
        </vertical>
        <horizontal style="thin">
          <color theme="9" tint="-0.249977111117893"/>
        </horizontal>
      </border>
    </dxf>
    <dxf>
      <border diagonalUp="0" diagonalDown="0">
        <left style="thin">
          <color theme="9" tint="-0.249977111117893"/>
        </left>
        <right style="thin">
          <color theme="9" tint="-0.249977111117893"/>
        </right>
        <top style="thin">
          <color theme="9" tint="-0.249977111117893"/>
        </top>
        <bottom style="thin">
          <color theme="9" tint="-0.249977111117893"/>
        </bottom>
        <vertical style="thin">
          <color theme="9" tint="-0.249977111117893"/>
        </vertical>
        <horizontal style="thin">
          <color theme="9" tint="-0.249977111117893"/>
        </horizontal>
      </border>
    </dxf>
    <dxf>
      <border diagonalUp="0" diagonalDown="0">
        <left style="thin">
          <color theme="9" tint="-0.249977111117893"/>
        </left>
        <right style="thin">
          <color theme="9" tint="-0.249977111117893"/>
        </right>
        <top style="thin">
          <color theme="9" tint="-0.249977111117893"/>
        </top>
        <bottom style="thin">
          <color theme="9" tint="-0.249977111117893"/>
        </bottom>
        <vertical style="thin">
          <color theme="9" tint="-0.249977111117893"/>
        </vertical>
        <horizontal style="thin">
          <color theme="9" tint="-0.249977111117893"/>
        </horizontal>
      </border>
    </dxf>
    <dxf>
      <border diagonalUp="0" diagonalDown="0">
        <left/>
        <right style="thin">
          <color theme="9" tint="-0.249977111117893"/>
        </right>
        <top style="thin">
          <color theme="9" tint="-0.249977111117893"/>
        </top>
        <bottom style="thin">
          <color theme="9" tint="-0.249977111117893"/>
        </bottom>
        <vertical style="thin">
          <color theme="9" tint="-0.249977111117893"/>
        </vertical>
        <horizontal style="thin">
          <color theme="9" tint="-0.249977111117893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theme="9" tint="-0.249977111117893"/>
        </left>
        <right style="thin">
          <color theme="9" tint="-0.249977111117893"/>
        </right>
        <top/>
        <bottom/>
        <vertical style="thin">
          <color theme="9" tint="-0.249977111117893"/>
        </vertical>
        <horizontal style="thin">
          <color theme="9" tint="-0.249977111117893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Statistic!$B$9</c:f>
              <c:strCache>
                <c:ptCount val="1"/>
                <c:pt idx="0">
                  <c:v>Số tiền lớn thứ tư</c:v>
                </c:pt>
              </c:strCache>
            </c:strRef>
          </c:tx>
          <c:invertIfNegative val="0"/>
          <c:cat>
            <c:strRef>
              <c:f>Statistic!$C$3:$F$3</c:f>
              <c:strCache>
                <c:ptCount val="4"/>
                <c:pt idx="0">
                  <c:v>Tuần 1</c:v>
                </c:pt>
                <c:pt idx="1">
                  <c:v>Tuần 2</c:v>
                </c:pt>
                <c:pt idx="2">
                  <c:v>Tuần 3</c:v>
                </c:pt>
                <c:pt idx="3">
                  <c:v>Tuần 4</c:v>
                </c:pt>
              </c:strCache>
            </c:strRef>
          </c:cat>
          <c:val>
            <c:numRef>
              <c:f>Statistic!$C$9:$F$9</c:f>
              <c:numCache>
                <c:formatCode>_(* #,##0.00_);_(* \(#,##0.00\);_(* "-"??_);_(@_)</c:formatCode>
                <c:ptCount val="4"/>
                <c:pt idx="0">
                  <c:v>100000</c:v>
                </c:pt>
                <c:pt idx="1">
                  <c:v>100000</c:v>
                </c:pt>
                <c:pt idx="2">
                  <c:v>120000</c:v>
                </c:pt>
                <c:pt idx="3">
                  <c:v>120000</c:v>
                </c:pt>
              </c:numCache>
            </c:numRef>
          </c:val>
        </c:ser>
        <c:ser>
          <c:idx val="1"/>
          <c:order val="1"/>
          <c:tx>
            <c:strRef>
              <c:f>Statistic!$B$8</c:f>
              <c:strCache>
                <c:ptCount val="1"/>
                <c:pt idx="0">
                  <c:v>Số tiền lớn thứ ba</c:v>
                </c:pt>
              </c:strCache>
            </c:strRef>
          </c:tx>
          <c:invertIfNegative val="0"/>
          <c:cat>
            <c:strRef>
              <c:f>Statistic!$C$3:$F$3</c:f>
              <c:strCache>
                <c:ptCount val="4"/>
                <c:pt idx="0">
                  <c:v>Tuần 1</c:v>
                </c:pt>
                <c:pt idx="1">
                  <c:v>Tuần 2</c:v>
                </c:pt>
                <c:pt idx="2">
                  <c:v>Tuần 3</c:v>
                </c:pt>
                <c:pt idx="3">
                  <c:v>Tuần 4</c:v>
                </c:pt>
              </c:strCache>
            </c:strRef>
          </c:cat>
          <c:val>
            <c:numRef>
              <c:f>Statistic!$C$8:$F$8</c:f>
              <c:numCache>
                <c:formatCode>_(* #,##0.00_);_(* \(#,##0.00\);_(* "-"??_);_(@_)</c:formatCode>
                <c:ptCount val="4"/>
                <c:pt idx="0">
                  <c:v>120000</c:v>
                </c:pt>
                <c:pt idx="1">
                  <c:v>120000</c:v>
                </c:pt>
                <c:pt idx="2">
                  <c:v>140000</c:v>
                </c:pt>
                <c:pt idx="3">
                  <c:v>120000</c:v>
                </c:pt>
              </c:numCache>
            </c:numRef>
          </c:val>
        </c:ser>
        <c:ser>
          <c:idx val="2"/>
          <c:order val="2"/>
          <c:tx>
            <c:strRef>
              <c:f>Statistic!$B$7</c:f>
              <c:strCache>
                <c:ptCount val="1"/>
                <c:pt idx="0">
                  <c:v>Số tiền lớn thứ hai</c:v>
                </c:pt>
              </c:strCache>
            </c:strRef>
          </c:tx>
          <c:invertIfNegative val="0"/>
          <c:cat>
            <c:strRef>
              <c:f>Statistic!$C$3:$F$3</c:f>
              <c:strCache>
                <c:ptCount val="4"/>
                <c:pt idx="0">
                  <c:v>Tuần 1</c:v>
                </c:pt>
                <c:pt idx="1">
                  <c:v>Tuần 2</c:v>
                </c:pt>
                <c:pt idx="2">
                  <c:v>Tuần 3</c:v>
                </c:pt>
                <c:pt idx="3">
                  <c:v>Tuần 4</c:v>
                </c:pt>
              </c:strCache>
            </c:strRef>
          </c:cat>
          <c:val>
            <c:numRef>
              <c:f>Statistic!$C$7:$F$7</c:f>
              <c:numCache>
                <c:formatCode>_(* #,##0.00_);_(* \(#,##0.00\);_(* "-"??_);_(@_)</c:formatCode>
                <c:ptCount val="4"/>
                <c:pt idx="0">
                  <c:v>160000</c:v>
                </c:pt>
                <c:pt idx="1">
                  <c:v>160000</c:v>
                </c:pt>
                <c:pt idx="2">
                  <c:v>160000</c:v>
                </c:pt>
                <c:pt idx="3">
                  <c:v>160000</c:v>
                </c:pt>
              </c:numCache>
            </c:numRef>
          </c:val>
        </c:ser>
        <c:ser>
          <c:idx val="3"/>
          <c:order val="3"/>
          <c:tx>
            <c:strRef>
              <c:f>Statistic!$B$6</c:f>
              <c:strCache>
                <c:ptCount val="1"/>
                <c:pt idx="0">
                  <c:v>Số tiền lớn nhất</c:v>
                </c:pt>
              </c:strCache>
            </c:strRef>
          </c:tx>
          <c:invertIfNegative val="0"/>
          <c:cat>
            <c:strRef>
              <c:f>Statistic!$C$3:$F$3</c:f>
              <c:strCache>
                <c:ptCount val="4"/>
                <c:pt idx="0">
                  <c:v>Tuần 1</c:v>
                </c:pt>
                <c:pt idx="1">
                  <c:v>Tuần 2</c:v>
                </c:pt>
                <c:pt idx="2">
                  <c:v>Tuần 3</c:v>
                </c:pt>
                <c:pt idx="3">
                  <c:v>Tuần 4</c:v>
                </c:pt>
              </c:strCache>
            </c:strRef>
          </c:cat>
          <c:val>
            <c:numRef>
              <c:f>Statistic!$C$6:$F$6</c:f>
              <c:numCache>
                <c:formatCode>_(* #,##0.00_);_(* \(#,##0.00\);_(* "-"??_);_(@_)</c:formatCode>
                <c:ptCount val="4"/>
                <c:pt idx="0">
                  <c:v>210000</c:v>
                </c:pt>
                <c:pt idx="1">
                  <c:v>210000</c:v>
                </c:pt>
                <c:pt idx="2">
                  <c:v>490000</c:v>
                </c:pt>
                <c:pt idx="3">
                  <c:v>490000</c:v>
                </c:pt>
              </c:numCache>
            </c:numRef>
          </c:val>
        </c:ser>
        <c:ser>
          <c:idx val="4"/>
          <c:order val="4"/>
          <c:tx>
            <c:strRef>
              <c:f>Statistic!$B$10</c:f>
              <c:strCache>
                <c:ptCount val="1"/>
                <c:pt idx="0">
                  <c:v>Số tiền còn lại</c:v>
                </c:pt>
              </c:strCache>
            </c:strRef>
          </c:tx>
          <c:invertIfNegative val="0"/>
          <c:cat>
            <c:strRef>
              <c:f>Statistic!$C$3:$F$3</c:f>
              <c:strCache>
                <c:ptCount val="4"/>
                <c:pt idx="0">
                  <c:v>Tuần 1</c:v>
                </c:pt>
                <c:pt idx="1">
                  <c:v>Tuần 2</c:v>
                </c:pt>
                <c:pt idx="2">
                  <c:v>Tuần 3</c:v>
                </c:pt>
                <c:pt idx="3">
                  <c:v>Tuần 4</c:v>
                </c:pt>
              </c:strCache>
            </c:strRef>
          </c:cat>
          <c:val>
            <c:numRef>
              <c:f>Statistic!$C$10:$F$10</c:f>
              <c:numCache>
                <c:formatCode>_(* #,##0.00_);_(* \(#,##0.00\);_(* "-"??_);_(@_)</c:formatCode>
                <c:ptCount val="4"/>
                <c:pt idx="0">
                  <c:v>735000</c:v>
                </c:pt>
                <c:pt idx="1">
                  <c:v>625000</c:v>
                </c:pt>
                <c:pt idx="2">
                  <c:v>775000</c:v>
                </c:pt>
                <c:pt idx="3">
                  <c:v>715000</c:v>
                </c:pt>
              </c:numCache>
            </c:numRef>
          </c:val>
        </c:ser>
        <c:ser>
          <c:idx val="5"/>
          <c:order val="5"/>
          <c:tx>
            <c:strRef>
              <c:f>Statistic!$B$4</c:f>
              <c:strCache>
                <c:ptCount val="1"/>
                <c:pt idx="0">
                  <c:v>Tổng số tiền</c:v>
                </c:pt>
              </c:strCache>
            </c:strRef>
          </c:tx>
          <c:invertIfNegative val="0"/>
          <c:cat>
            <c:strRef>
              <c:f>Statistic!$C$3:$F$3</c:f>
              <c:strCache>
                <c:ptCount val="4"/>
                <c:pt idx="0">
                  <c:v>Tuần 1</c:v>
                </c:pt>
                <c:pt idx="1">
                  <c:v>Tuần 2</c:v>
                </c:pt>
                <c:pt idx="2">
                  <c:v>Tuần 3</c:v>
                </c:pt>
                <c:pt idx="3">
                  <c:v>Tuần 4</c:v>
                </c:pt>
              </c:strCache>
            </c:strRef>
          </c:cat>
          <c:val>
            <c:numRef>
              <c:f>Statistic!$C$4:$F$4</c:f>
              <c:numCache>
                <c:formatCode>_(* #,##0.00_);_(* \(#,##0.00\);_(* "-"??_);_(@_)</c:formatCode>
                <c:ptCount val="4"/>
                <c:pt idx="0">
                  <c:v>1325000</c:v>
                </c:pt>
                <c:pt idx="1">
                  <c:v>1215000</c:v>
                </c:pt>
                <c:pt idx="2">
                  <c:v>1685000</c:v>
                </c:pt>
                <c:pt idx="3">
                  <c:v>1605000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-25"/>
        <c:axId val="231889920"/>
        <c:axId val="212157568"/>
      </c:barChart>
      <c:catAx>
        <c:axId val="231889920"/>
        <c:scaling>
          <c:orientation val="minMax"/>
        </c:scaling>
        <c:delete val="0"/>
        <c:axPos val="b"/>
        <c:majorTickMark val="none"/>
        <c:minorTickMark val="none"/>
        <c:tickLblPos val="nextTo"/>
        <c:crossAx val="212157568"/>
        <c:crosses val="autoZero"/>
        <c:auto val="1"/>
        <c:lblAlgn val="ctr"/>
        <c:lblOffset val="100"/>
        <c:noMultiLvlLbl val="0"/>
      </c:catAx>
      <c:valAx>
        <c:axId val="21215756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none"/>
        <c:minorTickMark val="none"/>
        <c:tickLblPos val="nextTo"/>
        <c:spPr>
          <a:ln w="6350">
            <a:noFill/>
          </a:ln>
        </c:spPr>
        <c:crossAx val="23188992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Statistic!$B$5</c:f>
              <c:strCache>
                <c:ptCount val="1"/>
                <c:pt idx="0">
                  <c:v>Số tiền trung bình</c:v>
                </c:pt>
              </c:strCache>
            </c:strRef>
          </c:tx>
          <c:spPr>
            <a:ln>
              <a:noFill/>
            </a:ln>
          </c:spPr>
          <c:trendline>
            <c:trendlineType val="linear"/>
            <c:dispRSqr val="0"/>
            <c:dispEq val="0"/>
          </c:trendline>
          <c:trendline>
            <c:trendlineType val="linear"/>
            <c:forward val="2"/>
            <c:dispRSqr val="0"/>
            <c:dispEq val="0"/>
          </c:trendline>
          <c:cat>
            <c:strRef>
              <c:f>Statistic!$C$3:$F$3</c:f>
              <c:strCache>
                <c:ptCount val="4"/>
                <c:pt idx="0">
                  <c:v>Tuần 1</c:v>
                </c:pt>
                <c:pt idx="1">
                  <c:v>Tuần 2</c:v>
                </c:pt>
                <c:pt idx="2">
                  <c:v>Tuần 3</c:v>
                </c:pt>
                <c:pt idx="3">
                  <c:v>Tuần 4</c:v>
                </c:pt>
              </c:strCache>
            </c:strRef>
          </c:cat>
          <c:val>
            <c:numRef>
              <c:f>Statistic!$C$5:$F$5</c:f>
              <c:numCache>
                <c:formatCode>_(* #,##0.00_);_(* \(#,##0.00\);_(* "-"??_);_(@_)</c:formatCode>
                <c:ptCount val="4"/>
                <c:pt idx="0">
                  <c:v>73611.111111111109</c:v>
                </c:pt>
                <c:pt idx="1">
                  <c:v>67500</c:v>
                </c:pt>
                <c:pt idx="2">
                  <c:v>93611.111111111109</c:v>
                </c:pt>
                <c:pt idx="3">
                  <c:v>89166.666666666672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232325120"/>
        <c:axId val="212159872"/>
      </c:lineChart>
      <c:catAx>
        <c:axId val="23232512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212159872"/>
        <c:crosses val="autoZero"/>
        <c:auto val="1"/>
        <c:lblAlgn val="ctr"/>
        <c:lblOffset val="100"/>
        <c:noMultiLvlLbl val="0"/>
      </c:catAx>
      <c:valAx>
        <c:axId val="21215987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232325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448234</xdr:colOff>
      <xdr:row>22</xdr:row>
      <xdr:rowOff>6722</xdr:rowOff>
    </xdr:from>
    <xdr:to>
      <xdr:col>6</xdr:col>
      <xdr:colOff>1367117</xdr:colOff>
      <xdr:row>46</xdr:row>
      <xdr:rowOff>67234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190499</xdr:colOff>
      <xdr:row>21</xdr:row>
      <xdr:rowOff>17930</xdr:rowOff>
    </xdr:from>
    <xdr:to>
      <xdr:col>12</xdr:col>
      <xdr:colOff>1243853</xdr:colOff>
      <xdr:row>46</xdr:row>
      <xdr:rowOff>67235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able13" displayName="Table13" ref="B5:F23" totalsRowShown="0" headerRowDxfId="9">
  <autoFilter ref="B5:F23"/>
  <tableColumns count="5">
    <tableColumn id="1" name="Thành phần" dataDxfId="8"/>
    <tableColumn id="2" name="Đơn vị (Chén, thìa cà phê, ...)" dataDxfId="7"/>
    <tableColumn id="3" name="Đơn vị thanh toán" dataDxfId="6"/>
    <tableColumn id="4" name="Quy đổi" dataDxfId="5"/>
    <tableColumn id="6" name="Giá tiền" dataDxfId="4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20"/>
  <sheetViews>
    <sheetView workbookViewId="0">
      <selection activeCell="I4" sqref="I4"/>
    </sheetView>
  </sheetViews>
  <sheetFormatPr defaultRowHeight="15" x14ac:dyDescent="0.25"/>
  <cols>
    <col min="1" max="1" width="19.42578125" customWidth="1"/>
    <col min="2" max="2" width="28.85546875" customWidth="1"/>
    <col min="3" max="3" width="18.85546875" customWidth="1"/>
    <col min="5" max="5" width="27.140625" customWidth="1"/>
    <col min="6" max="6" width="25.5703125" customWidth="1"/>
    <col min="7" max="7" width="10" customWidth="1"/>
  </cols>
  <sheetData>
    <row r="1" spans="2:9" x14ac:dyDescent="0.25">
      <c r="D1" s="6"/>
    </row>
    <row r="2" spans="2:9" ht="15.75" thickBot="1" x14ac:dyDescent="0.3">
      <c r="D2" s="6"/>
    </row>
    <row r="3" spans="2:9" ht="26.25" customHeight="1" x14ac:dyDescent="0.25">
      <c r="B3" s="87" t="s">
        <v>95</v>
      </c>
      <c r="C3" s="88"/>
      <c r="D3" s="6"/>
      <c r="E3" s="87" t="s">
        <v>96</v>
      </c>
      <c r="F3" s="88"/>
      <c r="H3" s="27" t="s">
        <v>80</v>
      </c>
      <c r="I3" s="28" t="s">
        <v>81</v>
      </c>
    </row>
    <row r="4" spans="2:9" ht="15.75" thickBot="1" x14ac:dyDescent="0.3">
      <c r="B4" s="30" t="s">
        <v>82</v>
      </c>
      <c r="C4" s="31" t="s">
        <v>83</v>
      </c>
      <c r="E4" s="30" t="s">
        <v>82</v>
      </c>
      <c r="F4" s="31" t="s">
        <v>83</v>
      </c>
      <c r="H4" s="26" t="s">
        <v>2</v>
      </c>
      <c r="I4" s="29">
        <v>23000</v>
      </c>
    </row>
    <row r="5" spans="2:9" x14ac:dyDescent="0.25">
      <c r="B5" s="32" t="str">
        <f>Recipes!C3</f>
        <v>Bánh quy sô cô la</v>
      </c>
      <c r="C5" s="33">
        <v>4</v>
      </c>
      <c r="E5" s="32" t="str">
        <f>Recipes!C3</f>
        <v>Bánh quy sô cô la</v>
      </c>
      <c r="F5" s="33">
        <v>2</v>
      </c>
    </row>
    <row r="6" spans="2:9" x14ac:dyDescent="0.25">
      <c r="B6" s="32" t="str">
        <f>Recipes!H3</f>
        <v>Bánh nướng với men chanh</v>
      </c>
      <c r="C6" s="33">
        <v>2</v>
      </c>
      <c r="E6" s="32" t="str">
        <f>Recipes!H3</f>
        <v>Bánh nướng với men chanh</v>
      </c>
      <c r="F6" s="33">
        <v>3</v>
      </c>
    </row>
    <row r="7" spans="2:9" x14ac:dyDescent="0.25">
      <c r="B7" s="32" t="str">
        <f>Recipes!M3</f>
        <v>Bánh quy gừng</v>
      </c>
      <c r="C7" s="33">
        <v>5</v>
      </c>
      <c r="E7" s="32" t="str">
        <f>Recipes!M3</f>
        <v>Bánh quy gừng</v>
      </c>
      <c r="F7" s="33">
        <v>2</v>
      </c>
    </row>
    <row r="8" spans="2:9" x14ac:dyDescent="0.25">
      <c r="B8" s="32" t="str">
        <f>Recipes!C22</f>
        <v>Bánh sừng bò sô cô la</v>
      </c>
      <c r="C8" s="33">
        <v>1</v>
      </c>
      <c r="E8" s="32" t="str">
        <f>Recipes!C22</f>
        <v>Bánh sừng bò sô cô la</v>
      </c>
      <c r="F8" s="33">
        <v>1</v>
      </c>
    </row>
    <row r="9" spans="2:9" x14ac:dyDescent="0.25">
      <c r="B9" s="32" t="str">
        <f>Recipes!H22</f>
        <v>Bánh quế</v>
      </c>
      <c r="C9" s="33">
        <v>4</v>
      </c>
      <c r="E9" s="32" t="str">
        <f>Recipes!H22</f>
        <v>Bánh quế</v>
      </c>
      <c r="F9" s="33">
        <v>4</v>
      </c>
    </row>
    <row r="10" spans="2:9" ht="15.75" thickBot="1" x14ac:dyDescent="0.3">
      <c r="B10" s="34" t="str">
        <f>Recipes!M22</f>
        <v>Công thức mới (tuỳ chọn)</v>
      </c>
      <c r="C10" s="35">
        <v>0</v>
      </c>
      <c r="E10" s="32" t="str">
        <f>Recipes!M22</f>
        <v>Công thức mới (tuỳ chọn)</v>
      </c>
      <c r="F10" s="35">
        <v>0</v>
      </c>
    </row>
    <row r="12" spans="2:9" ht="15.75" thickBot="1" x14ac:dyDescent="0.3"/>
    <row r="13" spans="2:9" x14ac:dyDescent="0.25">
      <c r="B13" s="87" t="s">
        <v>97</v>
      </c>
      <c r="C13" s="88"/>
      <c r="E13" s="87" t="s">
        <v>98</v>
      </c>
      <c r="F13" s="88"/>
    </row>
    <row r="14" spans="2:9" x14ac:dyDescent="0.25">
      <c r="B14" s="30" t="s">
        <v>82</v>
      </c>
      <c r="C14" s="31" t="s">
        <v>83</v>
      </c>
      <c r="E14" s="30" t="s">
        <v>82</v>
      </c>
      <c r="F14" s="31" t="s">
        <v>83</v>
      </c>
    </row>
    <row r="15" spans="2:9" x14ac:dyDescent="0.25">
      <c r="B15" s="32" t="str">
        <f>Recipes!C3</f>
        <v>Bánh quy sô cô la</v>
      </c>
      <c r="C15" s="33">
        <v>5</v>
      </c>
      <c r="E15" s="32" t="str">
        <f>Recipes!C3</f>
        <v>Bánh quy sô cô la</v>
      </c>
      <c r="F15" s="33">
        <v>3</v>
      </c>
    </row>
    <row r="16" spans="2:9" x14ac:dyDescent="0.25">
      <c r="B16" s="32" t="str">
        <f>Recipes!H3</f>
        <v>Bánh nướng với men chanh</v>
      </c>
      <c r="C16" s="33">
        <v>1</v>
      </c>
      <c r="E16" s="32" t="str">
        <f>Recipes!H3</f>
        <v>Bánh nướng với men chanh</v>
      </c>
      <c r="F16" s="33">
        <v>2</v>
      </c>
    </row>
    <row r="17" spans="2:6" x14ac:dyDescent="0.25">
      <c r="B17" s="32" t="str">
        <f>Recipes!M3</f>
        <v>Bánh quy gừng</v>
      </c>
      <c r="C17" s="33">
        <v>5</v>
      </c>
      <c r="E17" s="32" t="str">
        <f>Recipes!M3</f>
        <v>Bánh quy gừng</v>
      </c>
      <c r="F17" s="33">
        <v>1</v>
      </c>
    </row>
    <row r="18" spans="2:6" x14ac:dyDescent="0.25">
      <c r="B18" s="32" t="str">
        <f>Recipes!C22</f>
        <v>Bánh sừng bò sô cô la</v>
      </c>
      <c r="C18" s="33">
        <v>6</v>
      </c>
      <c r="E18" s="32" t="str">
        <f>Recipes!C22</f>
        <v>Bánh sừng bò sô cô la</v>
      </c>
      <c r="F18" s="33">
        <v>6</v>
      </c>
    </row>
    <row r="19" spans="2:6" x14ac:dyDescent="0.25">
      <c r="B19" s="32" t="str">
        <f>Recipes!H22</f>
        <v>Bánh quế</v>
      </c>
      <c r="C19" s="33">
        <v>1</v>
      </c>
      <c r="E19" s="32" t="str">
        <f>Recipes!H22</f>
        <v>Bánh quế</v>
      </c>
      <c r="F19" s="33">
        <v>1</v>
      </c>
    </row>
    <row r="20" spans="2:6" ht="15.75" thickBot="1" x14ac:dyDescent="0.3">
      <c r="B20" s="34" t="str">
        <f>Recipes!M22</f>
        <v>Công thức mới (tuỳ chọn)</v>
      </c>
      <c r="C20" s="35">
        <v>0</v>
      </c>
      <c r="E20" s="34" t="str">
        <f>Recipes!M22</f>
        <v>Công thức mới (tuỳ chọn)</v>
      </c>
      <c r="F20" s="35">
        <v>0</v>
      </c>
    </row>
  </sheetData>
  <mergeCells count="4">
    <mergeCell ref="B3:C3"/>
    <mergeCell ref="E3:F3"/>
    <mergeCell ref="B13:C13"/>
    <mergeCell ref="E13:F13"/>
  </mergeCells>
  <dataValidations count="1">
    <dataValidation type="whole" allowBlank="1" showInputMessage="1" showErrorMessage="1" sqref="C5:C10 F5:F10 C15:C20 F15:F20">
      <formula1>0</formula1>
      <formula2>20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23"/>
  <sheetViews>
    <sheetView workbookViewId="0">
      <selection activeCell="H7" sqref="H7"/>
    </sheetView>
  </sheetViews>
  <sheetFormatPr defaultRowHeight="15" x14ac:dyDescent="0.25"/>
  <cols>
    <col min="2" max="2" width="27.85546875" customWidth="1"/>
    <col min="3" max="3" width="28.28515625" customWidth="1"/>
    <col min="4" max="4" width="26.85546875" customWidth="1"/>
    <col min="5" max="5" width="25.85546875" customWidth="1"/>
    <col min="6" max="6" width="29.85546875" customWidth="1"/>
    <col min="8" max="8" width="9.5703125" customWidth="1"/>
  </cols>
  <sheetData>
    <row r="2" spans="2:9" ht="15.75" thickBot="1" x14ac:dyDescent="0.3"/>
    <row r="3" spans="2:9" x14ac:dyDescent="0.25">
      <c r="B3" s="89" t="s">
        <v>72</v>
      </c>
      <c r="C3" s="90"/>
      <c r="D3" s="90"/>
      <c r="E3" s="90"/>
      <c r="F3" s="91"/>
    </row>
    <row r="4" spans="2:9" x14ac:dyDescent="0.25">
      <c r="B4" s="92"/>
      <c r="C4" s="93"/>
      <c r="D4" s="93"/>
      <c r="E4" s="93"/>
      <c r="F4" s="94"/>
      <c r="H4" s="8"/>
    </row>
    <row r="5" spans="2:9" x14ac:dyDescent="0.25">
      <c r="B5" s="11" t="s">
        <v>21</v>
      </c>
      <c r="C5" s="9" t="s">
        <v>104</v>
      </c>
      <c r="D5" s="9" t="s">
        <v>22</v>
      </c>
      <c r="E5" s="9" t="s">
        <v>47</v>
      </c>
      <c r="F5" s="12" t="s">
        <v>48</v>
      </c>
      <c r="I5" s="8"/>
    </row>
    <row r="6" spans="2:9" x14ac:dyDescent="0.25">
      <c r="B6" s="13" t="s">
        <v>3</v>
      </c>
      <c r="C6" s="10" t="s">
        <v>69</v>
      </c>
      <c r="D6" s="10" t="s">
        <v>20</v>
      </c>
      <c r="E6" s="10" t="s">
        <v>70</v>
      </c>
      <c r="F6" s="14" t="s">
        <v>49</v>
      </c>
      <c r="G6" s="8"/>
      <c r="H6" s="8"/>
      <c r="I6" s="8"/>
    </row>
    <row r="7" spans="2:9" x14ac:dyDescent="0.25">
      <c r="B7" s="13" t="s">
        <v>4</v>
      </c>
      <c r="C7" s="10" t="s">
        <v>17</v>
      </c>
      <c r="D7" s="10" t="s">
        <v>24</v>
      </c>
      <c r="E7" s="10" t="s">
        <v>28</v>
      </c>
      <c r="F7" s="14" t="s">
        <v>50</v>
      </c>
      <c r="H7" s="8"/>
      <c r="I7" s="8"/>
    </row>
    <row r="8" spans="2:9" x14ac:dyDescent="0.25">
      <c r="B8" s="13" t="s">
        <v>5</v>
      </c>
      <c r="C8" s="10" t="s">
        <v>17</v>
      </c>
      <c r="D8" s="10" t="s">
        <v>32</v>
      </c>
      <c r="E8" s="10" t="s">
        <v>29</v>
      </c>
      <c r="F8" s="14" t="s">
        <v>51</v>
      </c>
      <c r="H8" s="8"/>
      <c r="I8" s="8"/>
    </row>
    <row r="9" spans="2:9" x14ac:dyDescent="0.25">
      <c r="B9" s="13" t="s">
        <v>0</v>
      </c>
      <c r="C9" s="10" t="s">
        <v>18</v>
      </c>
      <c r="D9" s="10" t="s">
        <v>33</v>
      </c>
      <c r="E9" s="10" t="s">
        <v>30</v>
      </c>
      <c r="F9" s="14" t="s">
        <v>52</v>
      </c>
      <c r="H9" s="8"/>
      <c r="I9" s="8"/>
    </row>
    <row r="10" spans="2:9" x14ac:dyDescent="0.25">
      <c r="B10" s="13" t="s">
        <v>6</v>
      </c>
      <c r="C10" s="10" t="s">
        <v>19</v>
      </c>
      <c r="D10" s="10" t="s">
        <v>34</v>
      </c>
      <c r="E10" s="10" t="s">
        <v>31</v>
      </c>
      <c r="F10" s="14" t="s">
        <v>53</v>
      </c>
      <c r="H10" s="8"/>
      <c r="I10" s="8"/>
    </row>
    <row r="11" spans="2:9" x14ac:dyDescent="0.25">
      <c r="B11" s="13" t="s">
        <v>1</v>
      </c>
      <c r="C11" s="10" t="s">
        <v>35</v>
      </c>
      <c r="D11" s="10" t="s">
        <v>55</v>
      </c>
      <c r="E11" s="10" t="s">
        <v>54</v>
      </c>
      <c r="F11" s="14" t="s">
        <v>56</v>
      </c>
      <c r="H11" s="8"/>
      <c r="I11" s="8"/>
    </row>
    <row r="12" spans="2:9" x14ac:dyDescent="0.25">
      <c r="B12" s="13" t="s">
        <v>7</v>
      </c>
      <c r="C12" s="10" t="s">
        <v>18</v>
      </c>
      <c r="D12" s="10" t="s">
        <v>24</v>
      </c>
      <c r="E12" s="10" t="s">
        <v>36</v>
      </c>
      <c r="F12" s="14" t="s">
        <v>57</v>
      </c>
      <c r="H12" s="8"/>
      <c r="I12" s="8"/>
    </row>
    <row r="13" spans="2:9" x14ac:dyDescent="0.25">
      <c r="B13" s="13" t="s">
        <v>8</v>
      </c>
      <c r="C13" s="10" t="s">
        <v>17</v>
      </c>
      <c r="D13" s="10" t="s">
        <v>24</v>
      </c>
      <c r="E13" s="10" t="s">
        <v>118</v>
      </c>
      <c r="F13" s="14" t="s">
        <v>58</v>
      </c>
      <c r="H13" s="8"/>
      <c r="I13" s="8"/>
    </row>
    <row r="14" spans="2:9" x14ac:dyDescent="0.25">
      <c r="B14" s="13" t="s">
        <v>9</v>
      </c>
      <c r="C14" s="10" t="s">
        <v>17</v>
      </c>
      <c r="D14" s="10" t="s">
        <v>34</v>
      </c>
      <c r="E14" s="10" t="s">
        <v>119</v>
      </c>
      <c r="F14" s="14" t="s">
        <v>59</v>
      </c>
      <c r="H14" s="8"/>
      <c r="I14" s="8"/>
    </row>
    <row r="15" spans="2:9" x14ac:dyDescent="0.25">
      <c r="B15" s="13" t="s">
        <v>10</v>
      </c>
      <c r="C15" s="10" t="s">
        <v>17</v>
      </c>
      <c r="D15" s="10" t="s">
        <v>37</v>
      </c>
      <c r="E15" s="10" t="s">
        <v>38</v>
      </c>
      <c r="F15" s="14" t="s">
        <v>60</v>
      </c>
      <c r="H15" s="8"/>
      <c r="I15" s="8"/>
    </row>
    <row r="16" spans="2:9" x14ac:dyDescent="0.25">
      <c r="B16" s="13" t="s">
        <v>39</v>
      </c>
      <c r="C16" s="10" t="s">
        <v>18</v>
      </c>
      <c r="D16" s="10" t="s">
        <v>26</v>
      </c>
      <c r="E16" s="10" t="s">
        <v>40</v>
      </c>
      <c r="F16" s="14" t="s">
        <v>61</v>
      </c>
      <c r="H16" s="8"/>
      <c r="I16" s="8"/>
    </row>
    <row r="17" spans="2:9" x14ac:dyDescent="0.25">
      <c r="B17" s="13" t="s">
        <v>11</v>
      </c>
      <c r="C17" s="10" t="s">
        <v>18</v>
      </c>
      <c r="D17" s="10" t="s">
        <v>25</v>
      </c>
      <c r="E17" s="10" t="s">
        <v>41</v>
      </c>
      <c r="F17" s="14" t="s">
        <v>62</v>
      </c>
      <c r="H17" s="8"/>
      <c r="I17" s="8"/>
    </row>
    <row r="18" spans="2:9" x14ac:dyDescent="0.25">
      <c r="B18" s="13" t="s">
        <v>12</v>
      </c>
      <c r="C18" s="10" t="s">
        <v>17</v>
      </c>
      <c r="D18" s="10" t="s">
        <v>24</v>
      </c>
      <c r="E18" s="10" t="s">
        <v>42</v>
      </c>
      <c r="F18" s="14" t="s">
        <v>63</v>
      </c>
      <c r="H18" s="8"/>
      <c r="I18" s="8"/>
    </row>
    <row r="19" spans="2:9" x14ac:dyDescent="0.25">
      <c r="B19" s="13" t="s">
        <v>13</v>
      </c>
      <c r="C19" s="10" t="s">
        <v>17</v>
      </c>
      <c r="D19" s="10" t="s">
        <v>32</v>
      </c>
      <c r="E19" s="10" t="s">
        <v>43</v>
      </c>
      <c r="F19" s="14" t="s">
        <v>64</v>
      </c>
      <c r="H19" s="8"/>
      <c r="I19" s="8"/>
    </row>
    <row r="20" spans="2:9" x14ac:dyDescent="0.25">
      <c r="B20" s="13" t="s">
        <v>14</v>
      </c>
      <c r="C20" s="10" t="s">
        <v>18</v>
      </c>
      <c r="D20" s="10" t="s">
        <v>26</v>
      </c>
      <c r="E20" s="10" t="s">
        <v>44</v>
      </c>
      <c r="F20" s="14" t="s">
        <v>65</v>
      </c>
      <c r="H20" s="8"/>
      <c r="I20" s="8"/>
    </row>
    <row r="21" spans="2:9" x14ac:dyDescent="0.25">
      <c r="B21" s="13" t="s">
        <v>88</v>
      </c>
      <c r="C21" s="10" t="s">
        <v>18</v>
      </c>
      <c r="D21" s="10" t="s">
        <v>27</v>
      </c>
      <c r="E21" s="10" t="s">
        <v>45</v>
      </c>
      <c r="F21" s="14" t="s">
        <v>66</v>
      </c>
      <c r="H21" s="8"/>
      <c r="I21" s="8"/>
    </row>
    <row r="22" spans="2:9" x14ac:dyDescent="0.25">
      <c r="B22" s="13" t="s">
        <v>16</v>
      </c>
      <c r="C22" s="10" t="s">
        <v>17</v>
      </c>
      <c r="D22" s="10" t="s">
        <v>23</v>
      </c>
      <c r="E22" s="10" t="s">
        <v>120</v>
      </c>
      <c r="F22" s="14" t="s">
        <v>67</v>
      </c>
      <c r="H22" s="8"/>
      <c r="I22" s="8"/>
    </row>
    <row r="23" spans="2:9" ht="15.75" thickBot="1" x14ac:dyDescent="0.3">
      <c r="B23" s="15" t="s">
        <v>15</v>
      </c>
      <c r="C23" s="16" t="s">
        <v>35</v>
      </c>
      <c r="D23" s="16" t="s">
        <v>34</v>
      </c>
      <c r="E23" s="16" t="s">
        <v>46</v>
      </c>
      <c r="F23" s="17" t="s">
        <v>68</v>
      </c>
      <c r="H23" s="8"/>
      <c r="I23" s="8"/>
    </row>
  </sheetData>
  <mergeCells count="1">
    <mergeCell ref="B3:F4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T40"/>
  <sheetViews>
    <sheetView topLeftCell="D7" zoomScale="85" zoomScaleNormal="85" workbookViewId="0">
      <selection activeCell="K19" sqref="K19"/>
    </sheetView>
  </sheetViews>
  <sheetFormatPr defaultRowHeight="15" x14ac:dyDescent="0.25"/>
  <cols>
    <col min="2" max="2" width="14.28515625" customWidth="1"/>
    <col min="3" max="3" width="19.140625" customWidth="1"/>
    <col min="4" max="4" width="19.42578125" customWidth="1"/>
    <col min="5" max="5" width="18" customWidth="1"/>
    <col min="6" max="6" width="12.85546875" customWidth="1"/>
    <col min="7" max="7" width="20" customWidth="1"/>
    <col min="8" max="8" width="22" customWidth="1"/>
    <col min="9" max="10" width="18.7109375" customWidth="1"/>
    <col min="11" max="11" width="15.85546875" customWidth="1"/>
    <col min="12" max="12" width="21.140625" customWidth="1"/>
    <col min="13" max="13" width="18.42578125" customWidth="1"/>
    <col min="14" max="14" width="19.28515625" customWidth="1"/>
    <col min="15" max="15" width="18.85546875" customWidth="1"/>
    <col min="16" max="16" width="14" customWidth="1"/>
  </cols>
  <sheetData>
    <row r="2" spans="2:20" ht="15.75" thickBot="1" x14ac:dyDescent="0.3"/>
    <row r="3" spans="2:20" x14ac:dyDescent="0.25">
      <c r="B3" s="8"/>
      <c r="C3" s="95" t="s">
        <v>74</v>
      </c>
      <c r="D3" s="96"/>
      <c r="E3" s="97"/>
      <c r="F3" s="8"/>
      <c r="H3" s="95" t="s">
        <v>75</v>
      </c>
      <c r="I3" s="96"/>
      <c r="J3" s="97"/>
      <c r="M3" s="95" t="s">
        <v>76</v>
      </c>
      <c r="N3" s="96"/>
      <c r="O3" s="97"/>
      <c r="T3" s="8"/>
    </row>
    <row r="4" spans="2:20" x14ac:dyDescent="0.25">
      <c r="B4" s="8"/>
      <c r="C4" s="98"/>
      <c r="D4" s="99"/>
      <c r="E4" s="100"/>
      <c r="F4" s="8"/>
      <c r="H4" s="98"/>
      <c r="I4" s="99"/>
      <c r="J4" s="100"/>
      <c r="M4" s="98"/>
      <c r="N4" s="99"/>
      <c r="O4" s="100"/>
      <c r="T4" s="8"/>
    </row>
    <row r="5" spans="2:20" s="8" customFormat="1" x14ac:dyDescent="0.25">
      <c r="C5" s="23" t="s">
        <v>84</v>
      </c>
      <c r="D5" s="18" t="s">
        <v>86</v>
      </c>
      <c r="E5" s="24" t="s">
        <v>71</v>
      </c>
      <c r="H5" s="23" t="s">
        <v>84</v>
      </c>
      <c r="I5" s="18" t="s">
        <v>86</v>
      </c>
      <c r="J5" s="24" t="s">
        <v>71</v>
      </c>
      <c r="M5" s="23" t="s">
        <v>84</v>
      </c>
      <c r="N5" s="18" t="s">
        <v>86</v>
      </c>
      <c r="O5" s="24" t="s">
        <v>71</v>
      </c>
    </row>
    <row r="6" spans="2:20" x14ac:dyDescent="0.25">
      <c r="B6" s="8"/>
      <c r="C6" s="25" t="s">
        <v>5</v>
      </c>
      <c r="D6" s="19">
        <v>2.25</v>
      </c>
      <c r="E6" s="36" t="str">
        <f>VLOOKUP(C6,Table13[],2,FALSE)</f>
        <v>Chén</v>
      </c>
      <c r="F6" s="8"/>
      <c r="H6" s="25" t="s">
        <v>5</v>
      </c>
      <c r="I6" s="20">
        <v>2</v>
      </c>
      <c r="J6" s="36" t="str">
        <f>VLOOKUP(H6,Table13[],2,FALSE)</f>
        <v>Chén</v>
      </c>
      <c r="M6" s="25" t="s">
        <v>10</v>
      </c>
      <c r="N6" s="19">
        <v>0.75</v>
      </c>
      <c r="O6" s="36" t="str">
        <f>VLOOKUP(M6,Table13[],2,FALSE)</f>
        <v>Chén</v>
      </c>
      <c r="T6" s="8"/>
    </row>
    <row r="7" spans="2:20" x14ac:dyDescent="0.25">
      <c r="B7" s="8"/>
      <c r="C7" s="25" t="s">
        <v>0</v>
      </c>
      <c r="D7" s="19">
        <v>1</v>
      </c>
      <c r="E7" s="36" t="str">
        <f>VLOOKUP(C7,Table13[],2,FALSE)</f>
        <v>Thìa cà phê</v>
      </c>
      <c r="F7" s="8"/>
      <c r="H7" s="25" t="s">
        <v>4</v>
      </c>
      <c r="I7" s="20">
        <v>0.5</v>
      </c>
      <c r="J7" s="36" t="str">
        <f>VLOOKUP(H7,Table13[],2,FALSE)</f>
        <v>Chén</v>
      </c>
      <c r="M7" s="25" t="s">
        <v>4</v>
      </c>
      <c r="N7" s="19">
        <v>1</v>
      </c>
      <c r="O7" s="36" t="str">
        <f>VLOOKUP(M7,Table13[],2,FALSE)</f>
        <v>Chén</v>
      </c>
      <c r="T7" s="8"/>
    </row>
    <row r="8" spans="2:20" x14ac:dyDescent="0.25">
      <c r="B8" s="8"/>
      <c r="C8" s="25" t="s">
        <v>7</v>
      </c>
      <c r="D8" s="19">
        <v>0.5</v>
      </c>
      <c r="E8" s="36" t="str">
        <f>VLOOKUP(C8,Table13[],2,FALSE)</f>
        <v>Thìa cà phê</v>
      </c>
      <c r="F8" s="8"/>
      <c r="H8" s="25" t="s">
        <v>6</v>
      </c>
      <c r="I8" s="20">
        <v>1</v>
      </c>
      <c r="J8" s="36" t="str">
        <f>VLOOKUP(H8,Table13[],2,FALSE)</f>
        <v>Thìa canh</v>
      </c>
      <c r="M8" s="25" t="s">
        <v>3</v>
      </c>
      <c r="N8" s="19">
        <v>1</v>
      </c>
      <c r="O8" s="36" t="str">
        <f>VLOOKUP(M8,Table13[],2,FALSE)</f>
        <v>Quả</v>
      </c>
      <c r="T8" s="8"/>
    </row>
    <row r="9" spans="2:20" x14ac:dyDescent="0.25">
      <c r="B9" s="8"/>
      <c r="C9" s="25" t="s">
        <v>10</v>
      </c>
      <c r="D9" s="19">
        <v>0</v>
      </c>
      <c r="E9" s="36" t="str">
        <f>VLOOKUP(C9,Table13[],2,FALSE)</f>
        <v>Chén</v>
      </c>
      <c r="F9" s="8"/>
      <c r="H9" s="25" t="s">
        <v>7</v>
      </c>
      <c r="I9" s="20">
        <v>0.5</v>
      </c>
      <c r="J9" s="36" t="str">
        <f>VLOOKUP(H9,Table13[],2,FALSE)</f>
        <v>Thìa cà phê</v>
      </c>
      <c r="M9" s="25" t="s">
        <v>9</v>
      </c>
      <c r="N9" s="19">
        <v>0.25</v>
      </c>
      <c r="O9" s="36" t="str">
        <f>VLOOKUP(M9,Table13[],2,FALSE)</f>
        <v>Chén</v>
      </c>
      <c r="T9" s="8"/>
    </row>
    <row r="10" spans="2:20" x14ac:dyDescent="0.25">
      <c r="B10" s="8"/>
      <c r="C10" s="25" t="s">
        <v>4</v>
      </c>
      <c r="D10" s="19">
        <v>0.75</v>
      </c>
      <c r="E10" s="36" t="str">
        <f>VLOOKUP(C10,Table13[],2,FALSE)</f>
        <v>Chén</v>
      </c>
      <c r="F10" s="8"/>
      <c r="H10" s="25" t="s">
        <v>10</v>
      </c>
      <c r="I10" s="20">
        <v>0.5</v>
      </c>
      <c r="J10" s="36" t="str">
        <f>VLOOKUP(H10,Table13[],2,FALSE)</f>
        <v>Chén</v>
      </c>
      <c r="M10" s="25" t="s">
        <v>0</v>
      </c>
      <c r="N10" s="19">
        <v>1</v>
      </c>
      <c r="O10" s="36" t="str">
        <f>VLOOKUP(M10,Table13[],2,FALSE)</f>
        <v>Thìa cà phê</v>
      </c>
      <c r="T10" s="8"/>
    </row>
    <row r="11" spans="2:20" x14ac:dyDescent="0.25">
      <c r="B11" s="8"/>
      <c r="C11" s="25" t="s">
        <v>8</v>
      </c>
      <c r="D11" s="19">
        <v>0.75</v>
      </c>
      <c r="E11" s="36" t="str">
        <f>VLOOKUP(C11,Table13[],2,FALSE)</f>
        <v>Chén</v>
      </c>
      <c r="F11" s="8"/>
      <c r="H11" s="25" t="s">
        <v>3</v>
      </c>
      <c r="I11" s="20">
        <v>1</v>
      </c>
      <c r="J11" s="36" t="str">
        <f>VLOOKUP(H11,Table13[],2,FALSE)</f>
        <v>Quả</v>
      </c>
      <c r="M11" s="25" t="s">
        <v>11</v>
      </c>
      <c r="N11" s="19">
        <v>0.75</v>
      </c>
      <c r="O11" s="36" t="str">
        <f>VLOOKUP(M11,Table13[],2,FALSE)</f>
        <v>Thìa cà phê</v>
      </c>
      <c r="T11" s="8"/>
    </row>
    <row r="12" spans="2:20" x14ac:dyDescent="0.25">
      <c r="B12" s="8"/>
      <c r="C12" s="25" t="s">
        <v>3</v>
      </c>
      <c r="D12" s="19">
        <v>2</v>
      </c>
      <c r="E12" s="36" t="str">
        <f>VLOOKUP(C12,Table13[],2,FALSE)</f>
        <v>Quả</v>
      </c>
      <c r="F12" s="8"/>
      <c r="H12" s="25" t="s">
        <v>12</v>
      </c>
      <c r="I12" s="20">
        <v>0.5</v>
      </c>
      <c r="J12" s="36" t="str">
        <f>VLOOKUP(H12,Table13[],2,FALSE)</f>
        <v>Chén</v>
      </c>
      <c r="M12" s="25" t="s">
        <v>7</v>
      </c>
      <c r="N12" s="19">
        <v>0.25</v>
      </c>
      <c r="O12" s="36" t="str">
        <f>VLOOKUP(M12,Table13[],2,FALSE)</f>
        <v>Thìa cà phê</v>
      </c>
      <c r="T12" s="8"/>
    </row>
    <row r="13" spans="2:20" ht="15.75" thickBot="1" x14ac:dyDescent="0.3">
      <c r="B13" s="8"/>
      <c r="C13" s="25" t="s">
        <v>39</v>
      </c>
      <c r="D13" s="19">
        <v>1</v>
      </c>
      <c r="E13" s="36" t="str">
        <f>VLOOKUP(C13,Table13[],2,FALSE)</f>
        <v>Thìa cà phê</v>
      </c>
      <c r="F13" s="8"/>
      <c r="H13" s="25" t="s">
        <v>14</v>
      </c>
      <c r="I13" s="21">
        <v>4</v>
      </c>
      <c r="J13" s="36" t="str">
        <f>VLOOKUP(H13,Table13[],2,FALSE)</f>
        <v>Thìa cà phê</v>
      </c>
      <c r="M13" s="26" t="s">
        <v>16</v>
      </c>
      <c r="N13" s="37">
        <v>0.5</v>
      </c>
      <c r="O13" s="36" t="str">
        <f>VLOOKUP(M13,Table13[],2,FALSE)</f>
        <v>Chén</v>
      </c>
      <c r="T13" s="8"/>
    </row>
    <row r="14" spans="2:20" ht="15.75" thickBot="1" x14ac:dyDescent="0.3">
      <c r="B14" s="8"/>
      <c r="C14" s="26" t="s">
        <v>1</v>
      </c>
      <c r="D14" s="37">
        <v>12</v>
      </c>
      <c r="E14" s="36" t="str">
        <f>VLOOKUP(C14,Table13[],2,FALSE)</f>
        <v>Chiếc</v>
      </c>
      <c r="F14" s="8"/>
      <c r="H14" s="25" t="s">
        <v>88</v>
      </c>
      <c r="I14" s="21">
        <v>1.5</v>
      </c>
      <c r="J14" s="36" t="str">
        <f>VLOOKUP(H14,Table13[],2,FALSE)</f>
        <v>Thìa cà phê</v>
      </c>
      <c r="M14" s="6"/>
      <c r="N14" s="3"/>
      <c r="O14" s="8"/>
      <c r="T14" s="8"/>
    </row>
    <row r="15" spans="2:20" ht="15.75" thickBot="1" x14ac:dyDescent="0.3">
      <c r="B15" s="8"/>
      <c r="C15" s="6"/>
      <c r="D15" s="3"/>
      <c r="E15" s="8"/>
      <c r="F15" s="8"/>
      <c r="H15" s="26" t="s">
        <v>13</v>
      </c>
      <c r="I15" s="38">
        <v>1</v>
      </c>
      <c r="J15" s="36" t="str">
        <f>VLOOKUP(H15,Table13[],2,FALSE)</f>
        <v>Chén</v>
      </c>
      <c r="M15" s="6"/>
      <c r="N15" s="3"/>
      <c r="O15" s="8"/>
      <c r="T15" s="8"/>
    </row>
    <row r="16" spans="2:20" x14ac:dyDescent="0.25">
      <c r="F16" s="2"/>
      <c r="H16" s="7"/>
      <c r="I16" s="5"/>
      <c r="J16" s="8"/>
      <c r="M16" s="6"/>
      <c r="N16" s="3"/>
      <c r="O16" s="8"/>
      <c r="T16" s="8"/>
    </row>
    <row r="17" spans="2:20" ht="15.75" thickBot="1" x14ac:dyDescent="0.3">
      <c r="I17" s="4"/>
      <c r="J17" s="8"/>
      <c r="N17" s="3"/>
      <c r="O17" s="8"/>
      <c r="T17" s="8"/>
    </row>
    <row r="18" spans="2:20" x14ac:dyDescent="0.25">
      <c r="C18" s="47" t="s">
        <v>91</v>
      </c>
      <c r="D18" s="48" t="s">
        <v>92</v>
      </c>
      <c r="E18" s="49" t="s">
        <v>94</v>
      </c>
      <c r="F18" s="50" t="s">
        <v>93</v>
      </c>
      <c r="H18" s="51" t="s">
        <v>91</v>
      </c>
      <c r="I18" s="48" t="s">
        <v>92</v>
      </c>
      <c r="J18" s="49" t="s">
        <v>94</v>
      </c>
      <c r="K18" s="50" t="s">
        <v>93</v>
      </c>
      <c r="M18" s="47" t="s">
        <v>91</v>
      </c>
      <c r="N18" s="48" t="s">
        <v>92</v>
      </c>
      <c r="O18" s="49" t="s">
        <v>94</v>
      </c>
      <c r="P18" s="50" t="s">
        <v>93</v>
      </c>
    </row>
    <row r="19" spans="2:20" ht="15.75" thickBot="1" x14ac:dyDescent="0.3">
      <c r="B19" s="1" t="s">
        <v>73</v>
      </c>
      <c r="C19" s="43">
        <f>Dashboard!$C5</f>
        <v>4</v>
      </c>
      <c r="D19" s="44">
        <f>Dashboard!F5</f>
        <v>2</v>
      </c>
      <c r="E19" s="45">
        <f>Dashboard!$C15</f>
        <v>5</v>
      </c>
      <c r="F19" s="46">
        <f>Dashboard!$F15</f>
        <v>3</v>
      </c>
      <c r="H19" s="43">
        <f>Dashboard!$C6</f>
        <v>2</v>
      </c>
      <c r="I19" s="44">
        <v>4</v>
      </c>
      <c r="J19" s="45">
        <f>Dashboard!$C16</f>
        <v>1</v>
      </c>
      <c r="K19" s="46">
        <f>Dashboard!$F16</f>
        <v>2</v>
      </c>
      <c r="M19" s="43">
        <f>Dashboard!$C7</f>
        <v>5</v>
      </c>
      <c r="N19" s="44">
        <f>Dashboard!$F7</f>
        <v>2</v>
      </c>
      <c r="O19" s="45">
        <f>Dashboard!$C17</f>
        <v>5</v>
      </c>
      <c r="P19" s="46">
        <f>Dashboard!$F17</f>
        <v>1</v>
      </c>
    </row>
    <row r="21" spans="2:20" ht="15.75" thickBot="1" x14ac:dyDescent="0.3"/>
    <row r="22" spans="2:20" x14ac:dyDescent="0.25">
      <c r="B22" s="8"/>
      <c r="C22" s="95" t="s">
        <v>77</v>
      </c>
      <c r="D22" s="96"/>
      <c r="E22" s="97"/>
      <c r="F22" s="8"/>
      <c r="H22" s="95" t="s">
        <v>78</v>
      </c>
      <c r="I22" s="96"/>
      <c r="J22" s="97"/>
      <c r="M22" s="95" t="s">
        <v>79</v>
      </c>
      <c r="N22" s="96"/>
      <c r="O22" s="97"/>
      <c r="T22" s="8"/>
    </row>
    <row r="23" spans="2:20" x14ac:dyDescent="0.25">
      <c r="B23" s="8"/>
      <c r="C23" s="98"/>
      <c r="D23" s="99"/>
      <c r="E23" s="100"/>
      <c r="F23" s="8"/>
      <c r="H23" s="98"/>
      <c r="I23" s="99"/>
      <c r="J23" s="100"/>
      <c r="M23" s="98"/>
      <c r="N23" s="99"/>
      <c r="O23" s="100"/>
      <c r="T23" s="8"/>
    </row>
    <row r="24" spans="2:20" s="8" customFormat="1" x14ac:dyDescent="0.25">
      <c r="C24" s="23" t="s">
        <v>84</v>
      </c>
      <c r="D24" s="18" t="s">
        <v>86</v>
      </c>
      <c r="E24" s="24" t="s">
        <v>71</v>
      </c>
      <c r="H24" s="23" t="s">
        <v>84</v>
      </c>
      <c r="I24" s="18" t="s">
        <v>86</v>
      </c>
      <c r="J24" s="24" t="s">
        <v>71</v>
      </c>
      <c r="M24" s="23" t="s">
        <v>84</v>
      </c>
      <c r="N24" s="18" t="s">
        <v>86</v>
      </c>
      <c r="O24" s="24" t="s">
        <v>71</v>
      </c>
    </row>
    <row r="25" spans="2:20" x14ac:dyDescent="0.25">
      <c r="B25" s="8"/>
      <c r="C25" s="25" t="s">
        <v>10</v>
      </c>
      <c r="D25" s="19">
        <v>0.25</v>
      </c>
      <c r="E25" s="36" t="str">
        <f>VLOOKUP(C25,Table13[],2,FALSE)</f>
        <v>Chén</v>
      </c>
      <c r="F25" s="8"/>
      <c r="H25" s="25" t="s">
        <v>15</v>
      </c>
      <c r="I25" s="19">
        <v>0.25</v>
      </c>
      <c r="J25" s="36" t="str">
        <f>VLOOKUP(H25,Table13[],2,FALSE)</f>
        <v>Chiếc</v>
      </c>
      <c r="M25" s="25" t="s">
        <v>1</v>
      </c>
      <c r="N25" s="22"/>
      <c r="O25" s="36" t="str">
        <f>VLOOKUP(M25,Table13[],2,FALSE)</f>
        <v>Chiếc</v>
      </c>
      <c r="T25" s="8"/>
    </row>
    <row r="26" spans="2:20" x14ac:dyDescent="0.25">
      <c r="B26" s="8"/>
      <c r="C26" s="25" t="s">
        <v>5</v>
      </c>
      <c r="D26" s="19">
        <v>4</v>
      </c>
      <c r="E26" s="36" t="str">
        <f>VLOOKUP(C26,Table13[],2,FALSE)</f>
        <v>Chén</v>
      </c>
      <c r="F26" s="8"/>
      <c r="H26" s="25" t="s">
        <v>5</v>
      </c>
      <c r="I26" s="19">
        <v>4</v>
      </c>
      <c r="J26" s="36" t="str">
        <f>VLOOKUP(H26,Table13[],2,FALSE)</f>
        <v>Chén</v>
      </c>
      <c r="M26" s="25" t="s">
        <v>9</v>
      </c>
      <c r="N26" s="22"/>
      <c r="O26" s="36" t="str">
        <f>VLOOKUP(M26,Table13[],2,FALSE)</f>
        <v>Chén</v>
      </c>
      <c r="T26" s="8"/>
    </row>
    <row r="27" spans="2:20" x14ac:dyDescent="0.25">
      <c r="B27" s="8"/>
      <c r="C27" s="25" t="s">
        <v>4</v>
      </c>
      <c r="D27" s="19">
        <v>0.25</v>
      </c>
      <c r="E27" s="36" t="str">
        <f>VLOOKUP(C27,Table13[],2,FALSE)</f>
        <v>Chén</v>
      </c>
      <c r="F27" s="8"/>
      <c r="H27" s="25" t="s">
        <v>4</v>
      </c>
      <c r="I27" s="19">
        <v>0.25</v>
      </c>
      <c r="J27" s="36" t="str">
        <f>VLOOKUP(H27,Table13[],2,FALSE)</f>
        <v>Chén</v>
      </c>
      <c r="M27" s="25" t="s">
        <v>4</v>
      </c>
      <c r="N27" s="22"/>
      <c r="O27" s="36" t="str">
        <f>VLOOKUP(M27,Table13[],2,FALSE)</f>
        <v>Chén</v>
      </c>
      <c r="T27" s="8"/>
    </row>
    <row r="28" spans="2:20" x14ac:dyDescent="0.25">
      <c r="B28" s="8"/>
      <c r="C28" s="25" t="s">
        <v>7</v>
      </c>
      <c r="D28" s="19">
        <v>2</v>
      </c>
      <c r="E28" s="36" t="str">
        <f>VLOOKUP(C28,Table13[],2,FALSE)</f>
        <v>Thìa cà phê</v>
      </c>
      <c r="F28" s="8"/>
      <c r="H28" s="25" t="s">
        <v>7</v>
      </c>
      <c r="I28" s="19">
        <v>1.5</v>
      </c>
      <c r="J28" s="36" t="str">
        <f>VLOOKUP(H28,Table13[],2,FALSE)</f>
        <v>Thìa cà phê</v>
      </c>
      <c r="M28" s="25" t="s">
        <v>12</v>
      </c>
      <c r="N28" s="22"/>
      <c r="O28" s="36" t="str">
        <f>VLOOKUP(M28,Table13[],2,FALSE)</f>
        <v>Chén</v>
      </c>
      <c r="T28" s="8"/>
    </row>
    <row r="29" spans="2:20" x14ac:dyDescent="0.25">
      <c r="B29" s="8"/>
      <c r="C29" s="25" t="s">
        <v>15</v>
      </c>
      <c r="D29" s="19">
        <v>1</v>
      </c>
      <c r="E29" s="36" t="str">
        <f>VLOOKUP(C29,Table13[],2,FALSE)</f>
        <v>Chiếc</v>
      </c>
      <c r="F29" s="8"/>
      <c r="H29" s="25" t="s">
        <v>12</v>
      </c>
      <c r="I29" s="19">
        <v>0.5</v>
      </c>
      <c r="J29" s="36" t="str">
        <f>VLOOKUP(H29,Table13[],2,FALSE)</f>
        <v>Chén</v>
      </c>
      <c r="M29" s="25" t="s">
        <v>11</v>
      </c>
      <c r="N29" s="22"/>
      <c r="O29" s="36" t="str">
        <f>VLOOKUP(M29,Table13[],2,FALSE)</f>
        <v>Thìa cà phê</v>
      </c>
      <c r="T29" s="8"/>
    </row>
    <row r="30" spans="2:20" x14ac:dyDescent="0.25">
      <c r="B30" s="8"/>
      <c r="C30" s="25" t="s">
        <v>1</v>
      </c>
      <c r="D30" s="19">
        <v>4</v>
      </c>
      <c r="E30" s="36" t="str">
        <f>VLOOKUP(C30,Table13[],2,FALSE)</f>
        <v>Chiếc</v>
      </c>
      <c r="F30" s="8"/>
      <c r="H30" s="25" t="s">
        <v>10</v>
      </c>
      <c r="I30" s="19">
        <v>0.25</v>
      </c>
      <c r="J30" s="36" t="str">
        <f>VLOOKUP(H30,Table13[],2,FALSE)</f>
        <v>Chén</v>
      </c>
      <c r="M30" s="25" t="s">
        <v>7</v>
      </c>
      <c r="N30" s="22"/>
      <c r="O30" s="36" t="str">
        <f>VLOOKUP(M30,Table13[],2,FALSE)</f>
        <v>Thìa cà phê</v>
      </c>
      <c r="T30" s="8"/>
    </row>
    <row r="31" spans="2:20" x14ac:dyDescent="0.25">
      <c r="B31" s="8"/>
      <c r="C31" s="25" t="s">
        <v>13</v>
      </c>
      <c r="D31" s="19">
        <v>0.25</v>
      </c>
      <c r="E31" s="36" t="str">
        <f>VLOOKUP(C31,Table13[],2,FALSE)</f>
        <v>Chén</v>
      </c>
      <c r="F31" s="8"/>
      <c r="H31" s="25" t="s">
        <v>3</v>
      </c>
      <c r="I31" s="19">
        <v>1</v>
      </c>
      <c r="J31" s="36" t="str">
        <f>VLOOKUP(H31,Table13[],2,FALSE)</f>
        <v>Quả</v>
      </c>
      <c r="M31" s="25" t="s">
        <v>14</v>
      </c>
      <c r="N31" s="22"/>
      <c r="O31" s="36" t="str">
        <f>VLOOKUP(M31,Table13[],2,FALSE)</f>
        <v>Thìa cà phê</v>
      </c>
      <c r="T31" s="8"/>
    </row>
    <row r="32" spans="2:20" x14ac:dyDescent="0.25">
      <c r="B32" s="8"/>
      <c r="C32" s="25" t="s">
        <v>3</v>
      </c>
      <c r="D32" s="19">
        <v>1</v>
      </c>
      <c r="E32" s="36" t="str">
        <f>VLOOKUP(C32,Table13[],2,FALSE)</f>
        <v>Quả</v>
      </c>
      <c r="F32" s="8"/>
      <c r="H32" s="25" t="s">
        <v>8</v>
      </c>
      <c r="I32" s="19">
        <v>0.5</v>
      </c>
      <c r="J32" s="36" t="str">
        <f>VLOOKUP(H32,Table13[],2,FALSE)</f>
        <v>Chén</v>
      </c>
      <c r="M32" s="25" t="s">
        <v>88</v>
      </c>
      <c r="N32" s="22"/>
      <c r="O32" s="36" t="str">
        <f>VLOOKUP(M32,Table13[],2,FALSE)</f>
        <v>Thìa cà phê</v>
      </c>
      <c r="T32" s="8"/>
    </row>
    <row r="33" spans="2:20" ht="15.75" thickBot="1" x14ac:dyDescent="0.3">
      <c r="B33" s="8"/>
      <c r="C33" s="26" t="s">
        <v>12</v>
      </c>
      <c r="D33" s="37">
        <v>2</v>
      </c>
      <c r="E33" s="36" t="str">
        <f>VLOOKUP(C33,Table13[],2,FALSE)</f>
        <v>Chén</v>
      </c>
      <c r="F33" s="8"/>
      <c r="H33" s="26" t="s">
        <v>11</v>
      </c>
      <c r="I33" s="37">
        <v>4</v>
      </c>
      <c r="J33" s="36" t="str">
        <f>VLOOKUP(H33,Table13[],2,FALSE)</f>
        <v>Thìa cà phê</v>
      </c>
      <c r="M33" s="25" t="s">
        <v>10</v>
      </c>
      <c r="N33" s="22"/>
      <c r="O33" s="36" t="str">
        <f>VLOOKUP(M33,Table13[],2,FALSE)</f>
        <v>Chén</v>
      </c>
      <c r="T33" s="8"/>
    </row>
    <row r="34" spans="2:20" x14ac:dyDescent="0.25">
      <c r="B34" s="8"/>
      <c r="F34" s="8"/>
      <c r="M34" s="25" t="s">
        <v>3</v>
      </c>
      <c r="N34" s="22"/>
      <c r="O34" s="36" t="str">
        <f>VLOOKUP(M34,Table13[],2,FALSE)</f>
        <v>Quả</v>
      </c>
      <c r="T34" s="8"/>
    </row>
    <row r="35" spans="2:20" ht="15.75" thickBot="1" x14ac:dyDescent="0.3">
      <c r="B35" s="8"/>
      <c r="F35" s="8"/>
      <c r="H35" s="6"/>
      <c r="I35" s="2"/>
      <c r="J35" s="8"/>
      <c r="M35" s="25" t="s">
        <v>8</v>
      </c>
      <c r="N35" s="39"/>
      <c r="O35" s="36" t="str">
        <f>VLOOKUP(M35,Table13[],2,FALSE)</f>
        <v>Chén</v>
      </c>
      <c r="T35" s="8"/>
    </row>
    <row r="36" spans="2:20" x14ac:dyDescent="0.25">
      <c r="B36" s="8"/>
      <c r="C36" s="6"/>
      <c r="D36" s="3"/>
      <c r="E36" s="8"/>
      <c r="F36" s="8"/>
      <c r="H36" s="6"/>
      <c r="I36" s="3"/>
      <c r="J36" s="8"/>
      <c r="T36" s="8"/>
    </row>
    <row r="37" spans="2:20" x14ac:dyDescent="0.25">
      <c r="H37" s="8"/>
      <c r="I37" s="2"/>
      <c r="J37" s="8"/>
      <c r="M37" s="8"/>
      <c r="N37" s="2"/>
      <c r="O37" s="8"/>
      <c r="T37" s="8"/>
    </row>
    <row r="38" spans="2:20" ht="15.75" thickBot="1" x14ac:dyDescent="0.3">
      <c r="N38" s="2"/>
      <c r="O38" s="8"/>
      <c r="T38" s="8"/>
    </row>
    <row r="39" spans="2:20" x14ac:dyDescent="0.25">
      <c r="B39" s="8"/>
      <c r="C39" s="47" t="s">
        <v>91</v>
      </c>
      <c r="D39" s="48" t="s">
        <v>92</v>
      </c>
      <c r="E39" s="49" t="s">
        <v>94</v>
      </c>
      <c r="F39" s="50" t="s">
        <v>93</v>
      </c>
      <c r="H39" s="47" t="s">
        <v>91</v>
      </c>
      <c r="I39" s="48" t="s">
        <v>92</v>
      </c>
      <c r="J39" s="49" t="s">
        <v>94</v>
      </c>
      <c r="K39" s="50" t="s">
        <v>93</v>
      </c>
      <c r="M39" s="47" t="s">
        <v>91</v>
      </c>
      <c r="N39" s="48" t="s">
        <v>92</v>
      </c>
      <c r="O39" s="49" t="s">
        <v>94</v>
      </c>
      <c r="P39" s="50" t="s">
        <v>93</v>
      </c>
    </row>
    <row r="40" spans="2:20" ht="15.75" thickBot="1" x14ac:dyDescent="0.3">
      <c r="B40" s="1" t="s">
        <v>73</v>
      </c>
      <c r="C40" s="43">
        <f>Dashboard!$C8</f>
        <v>1</v>
      </c>
      <c r="D40" s="44">
        <f>Dashboard!$F8</f>
        <v>1</v>
      </c>
      <c r="E40" s="45">
        <f>Dashboard!$C18</f>
        <v>6</v>
      </c>
      <c r="F40" s="46">
        <f>Dashboard!$F18</f>
        <v>6</v>
      </c>
      <c r="H40" s="43">
        <f>Dashboard!$C9</f>
        <v>4</v>
      </c>
      <c r="I40" s="44">
        <f>Dashboard!$F9</f>
        <v>4</v>
      </c>
      <c r="J40" s="45">
        <f>Dashboard!$C19</f>
        <v>1</v>
      </c>
      <c r="K40" s="46">
        <f>Dashboard!$F19</f>
        <v>1</v>
      </c>
      <c r="M40" s="43">
        <f>Dashboard!$C10</f>
        <v>0</v>
      </c>
      <c r="N40" s="44">
        <f>Dashboard!$F10</f>
        <v>0</v>
      </c>
      <c r="O40" s="45">
        <f>Dashboard!$C20</f>
        <v>0</v>
      </c>
      <c r="P40" s="46">
        <f>Dashboard!$F20</f>
        <v>0</v>
      </c>
    </row>
  </sheetData>
  <mergeCells count="6">
    <mergeCell ref="C3:E4"/>
    <mergeCell ref="H3:J4"/>
    <mergeCell ref="M3:O4"/>
    <mergeCell ref="C22:E23"/>
    <mergeCell ref="H22:J23"/>
    <mergeCell ref="M22:O2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Unit!$B$6:$B$23</xm:f>
          </x14:formula1>
          <xm:sqref>C6:C14 H6:H15 M6:M13 C25:C33 H25:H33 M25:M35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S79"/>
  <sheetViews>
    <sheetView topLeftCell="A22" zoomScale="85" zoomScaleNormal="85" workbookViewId="0">
      <selection activeCell="C26" sqref="C26:G26"/>
    </sheetView>
  </sheetViews>
  <sheetFormatPr defaultRowHeight="15" x14ac:dyDescent="0.25"/>
  <cols>
    <col min="1" max="1" width="9.140625" style="8"/>
    <col min="3" max="3" width="22.42578125" customWidth="1"/>
    <col min="4" max="4" width="18.7109375" customWidth="1"/>
    <col min="5" max="6" width="20" customWidth="1"/>
    <col min="7" max="7" width="22.85546875" customWidth="1"/>
    <col min="8" max="8" width="22.28515625" customWidth="1"/>
    <col min="9" max="9" width="12.85546875" customWidth="1"/>
    <col min="10" max="10" width="24" customWidth="1"/>
    <col min="11" max="11" width="18.28515625" customWidth="1"/>
    <col min="12" max="13" width="13.5703125" customWidth="1"/>
    <col min="14" max="14" width="12.85546875" customWidth="1"/>
    <col min="15" max="16" width="16.5703125" customWidth="1"/>
  </cols>
  <sheetData>
    <row r="2" spans="3:15" ht="15.75" thickBot="1" x14ac:dyDescent="0.3"/>
    <row r="3" spans="3:15" ht="30.75" customHeight="1" x14ac:dyDescent="0.25">
      <c r="C3" s="101" t="s">
        <v>85</v>
      </c>
      <c r="D3" s="102"/>
      <c r="E3" s="102"/>
      <c r="F3" s="102"/>
      <c r="G3" s="102"/>
      <c r="H3" s="103"/>
      <c r="J3" s="101" t="s">
        <v>105</v>
      </c>
      <c r="K3" s="102"/>
      <c r="L3" s="102"/>
      <c r="M3" s="102"/>
      <c r="N3" s="102"/>
      <c r="O3" s="103"/>
    </row>
    <row r="4" spans="3:15" ht="40.5" customHeight="1" x14ac:dyDescent="0.25">
      <c r="C4" s="63" t="s">
        <v>84</v>
      </c>
      <c r="D4" s="62" t="s">
        <v>99</v>
      </c>
      <c r="E4" s="62" t="s">
        <v>100</v>
      </c>
      <c r="F4" s="62" t="s">
        <v>101</v>
      </c>
      <c r="G4" s="62" t="s">
        <v>102</v>
      </c>
      <c r="H4" s="64" t="s">
        <v>71</v>
      </c>
      <c r="J4" s="78" t="s">
        <v>84</v>
      </c>
      <c r="K4" s="62" t="s">
        <v>99</v>
      </c>
      <c r="L4" s="62" t="s">
        <v>100</v>
      </c>
      <c r="M4" s="62" t="s">
        <v>101</v>
      </c>
      <c r="N4" s="62" t="s">
        <v>102</v>
      </c>
      <c r="O4" s="79" t="s">
        <v>71</v>
      </c>
    </row>
    <row r="5" spans="3:15" s="8" customFormat="1" ht="16.5" customHeight="1" x14ac:dyDescent="0.25">
      <c r="C5" s="52" t="str">
        <f xml:space="preserve"> Unit!B6</f>
        <v>Trứng</v>
      </c>
      <c r="D5" s="42">
        <f>VLOOKUP($C5,THNL!$A$2:$G$19,2,FALSE)*Recipes!C$19+VLOOKUP($C5,THNL!$A$2:$G$19,3,FALSE)*Recipes!$H$19+VLOOKUP($C5,THNL!$A$2:$G$19,4,FALSE)*Recipes!$M$19+VLOOKUP($C5,THNL!$A$2:$G$19,5,FALSE)*Recipes!$C$40+VLOOKUP($C5,THNL!$A$2:$G$19,6,FALSE)*Recipes!$M$40+VLOOKUP($C5,THNL!$A$2:$G$19,7,FALSE)*Recipes!$H$40</f>
        <v>20</v>
      </c>
      <c r="E5" s="42">
        <f>VLOOKUP($C5,THNL!$A$2:$G$19,2,FALSE)*Recipes!$D$19+ VLOOKUP($C5,THNL!$A$2:$G$19,3,FALSE)*Recipes!$I$19+VLOOKUP($C5,THNL!$A$2:$G$19,4,FALSE)*Recipes!$N$19+VLOOKUP($C5,THNL!$A$2:$G$19,5,FALSE)*Recipes!$D$40+VLOOKUP($C5,THNL!$A$2:$G$19,6,FALSE)*Recipes!$N$40+VLOOKUP($C5,THNL!$A$2:$G$19,7,FALSE)*Recipes!$I$40</f>
        <v>15</v>
      </c>
      <c r="F5" s="42">
        <f>VLOOKUP($C5,THNL!$A$2:$G$19,2,FALSE)*Recipes!$E$19+VLOOKUP($C5,THNL!$A$2:$G$19,3,FALSE)*Recipes!$J$19+VLOOKUP($C5,THNL!$A$2:$G$19,4,FALSE)*Recipes!$O$19+VLOOKUP($C5,THNL!$A$2:$G$19,5,FALSE)*Recipes!$E$40+VLOOKUP($C5,THNL!$A$2:$G$19,6,FALSE)*Recipes!$O$40+VLOOKUP($C5,THNL!$A$2:$G$19,7,FALSE)*Recipes!$J$40</f>
        <v>23</v>
      </c>
      <c r="G5" s="42">
        <f>VLOOKUP($C5,THNL!$A$2:$G$19,2,FALSE)*Recipes!$F$19+VLOOKUP($C5,THNL!$A$2:$G$19,3,FALSE)*Recipes!$K$19+VLOOKUP($C5,THNL!$A$2:$G$19,4,FALSE)*Recipes!$P$19+VLOOKUP($C5,THNL!$A$2:$G$19,5,FALSE)*Recipes!$F$40+VLOOKUP($C5,THNL!$A$2:$G$19,6,FALSE)*Recipes!$P$40+VLOOKUP($C5,THNL!$A$2:$G$19,7,FALSE)*Recipes!$K$40</f>
        <v>16</v>
      </c>
      <c r="H5" s="53" t="s">
        <v>69</v>
      </c>
      <c r="J5" s="65" t="str">
        <f xml:space="preserve"> Unit!B6</f>
        <v>Trứng</v>
      </c>
      <c r="K5" s="42">
        <f>ROUNDUP($D5/LEFT(VLOOKUP($J5,Table13[],4,FALSE),FIND(" ",VLOOKUP($J5,Table13[],4,FALSE),1)), 0)</f>
        <v>2</v>
      </c>
      <c r="L5" s="42">
        <f>ROUNDUP(E5/LEFT(VLOOKUP($J5,Table13[],4,FALSE),FIND(" ",VLOOKUP($J5,Table13[],4,FALSE),1)), 0)</f>
        <v>2</v>
      </c>
      <c r="M5" s="42">
        <f>ROUNDUP(F5/LEFT(VLOOKUP($J5,Table13[],4,FALSE),FIND(" ",VLOOKUP($J5,Table13[],4,FALSE),1)), 0)</f>
        <v>2</v>
      </c>
      <c r="N5" s="42">
        <f>ROUNDUP(G5/LEFT(VLOOKUP($J5,Table13[],4,FALSE),FIND(" ",VLOOKUP($J5,Table13[],4,FALSE),1)), 0)</f>
        <v>2</v>
      </c>
      <c r="O5" s="53" t="s">
        <v>20</v>
      </c>
    </row>
    <row r="6" spans="3:15" x14ac:dyDescent="0.25">
      <c r="C6" s="52" t="str">
        <f xml:space="preserve"> Unit!B7</f>
        <v>Đường</v>
      </c>
      <c r="D6" s="42">
        <f>VLOOKUP($C6,THNL!$A$2:$G$19,2,FALSE)*Recipes!C$19+VLOOKUP($C6,THNL!$A$2:$G$19,3,FALSE)*Recipes!$H$19+VLOOKUP($C6,THNL!$A$2:$G$19,4,FALSE)*Recipes!$M$19+VLOOKUP($C6,THNL!$A$2:$G$19,5,FALSE)*Recipes!$C$40+VLOOKUP($C6,THNL!$A$2:$G$19,6,FALSE)*Recipes!$M$40+VLOOKUP($C6,THNL!$A$2:$G$19,7,FALSE)*Recipes!$H$40</f>
        <v>10.25</v>
      </c>
      <c r="E6" s="42">
        <f>VLOOKUP($C6,THNL!$A$2:$G$19,2,FALSE)*Recipes!$D$19+ VLOOKUP($C6,THNL!$A$2:$G$19,3,FALSE)*Recipes!$I$19+VLOOKUP($C6,THNL!$A$2:$G$19,4,FALSE)*Recipes!$N$19+VLOOKUP($C6,THNL!$A$2:$G$19,5,FALSE)*Recipes!$D$40+VLOOKUP($C6,THNL!$A$2:$G$19,6,FALSE)*Recipes!$N$40+VLOOKUP($C6,THNL!$A$2:$G$19,7,FALSE)*Recipes!$I$40</f>
        <v>6.75</v>
      </c>
      <c r="F6" s="42">
        <f>VLOOKUP($C6,THNL!$A$2:$G$19,2,FALSE)*Recipes!$E$19+VLOOKUP($C6,THNL!$A$2:$G$19,3,FALSE)*Recipes!$J$19+VLOOKUP($C6,THNL!$A$2:$G$19,4,FALSE)*Recipes!$O$19+VLOOKUP($C6,THNL!$A$2:$G$19,5,FALSE)*Recipes!$E$40+VLOOKUP($C6,THNL!$A$2:$G$19,6,FALSE)*Recipes!$O$40+VLOOKUP($C6,THNL!$A$2:$G$19,7,FALSE)*Recipes!$J$40</f>
        <v>11</v>
      </c>
      <c r="G6" s="42">
        <f>VLOOKUP($C6,THNL!$A$2:$G$19,2,FALSE)*Recipes!$F$19+VLOOKUP($C6,THNL!$A$2:$G$19,3,FALSE)*Recipes!$K$19+VLOOKUP($C6,THNL!$A$2:$G$19,4,FALSE)*Recipes!$P$19+VLOOKUP($C6,THNL!$A$2:$G$19,5,FALSE)*Recipes!$F$40+VLOOKUP($C6,THNL!$A$2:$G$19,6,FALSE)*Recipes!$P$40+VLOOKUP($C6,THNL!$A$2:$G$19,7,FALSE)*Recipes!$K$40</f>
        <v>6</v>
      </c>
      <c r="H6" s="53" t="s">
        <v>17</v>
      </c>
      <c r="J6" s="65" t="str">
        <f xml:space="preserve"> Unit!B7</f>
        <v>Đường</v>
      </c>
      <c r="K6" s="42">
        <f>ROUNDUP($D6/LEFT(VLOOKUP($J6,Table13[],4,FALSE),FIND(" ",VLOOKUP($J6,Table13[],4,FALSE),1)), 0)</f>
        <v>2</v>
      </c>
      <c r="L6" s="42">
        <f>ROUNDUP(E6/LEFT(VLOOKUP($J6,Table13[],4,FALSE),FIND(" ",VLOOKUP($J6,Table13[],4,FALSE),1)), 0)</f>
        <v>1</v>
      </c>
      <c r="M6" s="42">
        <f>ROUNDUP(F6/LEFT(VLOOKUP($J6,Table13[],4,FALSE),FIND(" ",VLOOKUP($J6,Table13[],4,FALSE),1)), 0)</f>
        <v>2</v>
      </c>
      <c r="N6" s="42">
        <f>ROUNDUP(G6/LEFT(VLOOKUP($J6,Table13[],4,FALSE),FIND(" ",VLOOKUP($J6,Table13[],4,FALSE),1)), 0)</f>
        <v>1</v>
      </c>
      <c r="O6" s="53" t="s">
        <v>24</v>
      </c>
    </row>
    <row r="7" spans="3:15" x14ac:dyDescent="0.25">
      <c r="C7" s="52" t="str">
        <f xml:space="preserve"> Unit!B8</f>
        <v>Bột mì</v>
      </c>
      <c r="D7" s="42">
        <f>VLOOKUP($C7,THNL!$A$2:$G$19,2,FALSE)*Recipes!C$19+VLOOKUP($C7,THNL!$A$2:$G$19,3,FALSE)*Recipes!$H$19+VLOOKUP($C7,THNL!$A$2:$G$19,4,FALSE)*Recipes!$M$19+VLOOKUP($C7,THNL!$A$2:$G$19,5,FALSE)*Recipes!$C$40+VLOOKUP($C7,THNL!$A$2:$G$19,6,FALSE)*Recipes!$M$40+VLOOKUP($C7,THNL!$A$2:$G$19,7,FALSE)*Recipes!$H$40</f>
        <v>33</v>
      </c>
      <c r="E7" s="42">
        <f>VLOOKUP($C7,THNL!$A$2:$G$19,2,FALSE)*Recipes!$D$19+ VLOOKUP($C7,THNL!$A$2:$G$19,3,FALSE)*Recipes!$I$19+VLOOKUP($C7,THNL!$A$2:$G$19,4,FALSE)*Recipes!$N$19+VLOOKUP($C7,THNL!$A$2:$G$19,5,FALSE)*Recipes!$D$40+VLOOKUP($C7,THNL!$A$2:$G$19,6,FALSE)*Recipes!$N$40+VLOOKUP($C7,THNL!$A$2:$G$19,7,FALSE)*Recipes!$I$40</f>
        <v>32.5</v>
      </c>
      <c r="F7" s="42">
        <f>VLOOKUP($C7,THNL!$A$2:$G$19,2,FALSE)*Recipes!$E$19+VLOOKUP($C7,THNL!$A$2:$G$19,3,FALSE)*Recipes!$J$19+VLOOKUP($C7,THNL!$A$2:$G$19,4,FALSE)*Recipes!$O$19+VLOOKUP($C7,THNL!$A$2:$G$19,5,FALSE)*Recipes!$E$40+VLOOKUP($C7,THNL!$A$2:$G$19,6,FALSE)*Recipes!$O$40+VLOOKUP($C7,THNL!$A$2:$G$19,7,FALSE)*Recipes!$J$40</f>
        <v>41.25</v>
      </c>
      <c r="G7" s="42">
        <f>VLOOKUP($C7,THNL!$A$2:$G$19,2,FALSE)*Recipes!$F$19+VLOOKUP($C7,THNL!$A$2:$G$19,3,FALSE)*Recipes!$K$19+VLOOKUP($C7,THNL!$A$2:$G$19,4,FALSE)*Recipes!$P$19+VLOOKUP($C7,THNL!$A$2:$G$19,5,FALSE)*Recipes!$F$40+VLOOKUP($C7,THNL!$A$2:$G$19,6,FALSE)*Recipes!$P$40+VLOOKUP($C7,THNL!$A$2:$G$19,7,FALSE)*Recipes!$K$40</f>
        <v>38.75</v>
      </c>
      <c r="H7" s="53" t="s">
        <v>17</v>
      </c>
      <c r="J7" s="65" t="str">
        <f xml:space="preserve"> Unit!B8</f>
        <v>Bột mì</v>
      </c>
      <c r="K7" s="42">
        <f>ROUNDUP($D7/LEFT(VLOOKUP($J7,Table13[],4,FALSE),FIND(" ",VLOOKUP($J7,Table13[],4,FALSE),1)), 0)</f>
        <v>2</v>
      </c>
      <c r="L7" s="42">
        <f>ROUNDUP(E7/LEFT(VLOOKUP($J7,Table13[],4,FALSE),FIND(" ",VLOOKUP($J7,Table13[],4,FALSE),1)), 0)</f>
        <v>2</v>
      </c>
      <c r="M7" s="42">
        <f>ROUNDUP(F7/LEFT(VLOOKUP($J7,Table13[],4,FALSE),FIND(" ",VLOOKUP($J7,Table13[],4,FALSE),1)), 0)</f>
        <v>3</v>
      </c>
      <c r="N7" s="42">
        <f>ROUNDUP(G7/LEFT(VLOOKUP($J7,Table13[],4,FALSE),FIND(" ",VLOOKUP($J7,Table13[],4,FALSE),1)), 0)</f>
        <v>3</v>
      </c>
      <c r="O7" s="53" t="s">
        <v>32</v>
      </c>
    </row>
    <row r="8" spans="3:15" x14ac:dyDescent="0.25">
      <c r="C8" s="52" t="str">
        <f xml:space="preserve"> Unit!B9</f>
        <v>Baking soda</v>
      </c>
      <c r="D8" s="42">
        <f>VLOOKUP($C8,THNL!$A$2:$G$19,2,FALSE)*Recipes!C$19+VLOOKUP($C8,THNL!$A$2:$G$19,3,FALSE)*Recipes!$H$19+VLOOKUP($C8,THNL!$A$2:$G$19,4,FALSE)*Recipes!$M$19+VLOOKUP($C8,THNL!$A$2:$G$19,5,FALSE)*Recipes!$C$40+VLOOKUP($C8,THNL!$A$2:$G$19,6,FALSE)*Recipes!$M$40+VLOOKUP($C8,THNL!$A$2:$G$19,7,FALSE)*Recipes!$H$40</f>
        <v>9</v>
      </c>
      <c r="E8" s="42">
        <f>VLOOKUP($C8,THNL!$A$2:$G$19,2,FALSE)*Recipes!$D$19+ VLOOKUP($C8,THNL!$A$2:$G$19,3,FALSE)*Recipes!$I$19+VLOOKUP($C8,THNL!$A$2:$G$19,4,FALSE)*Recipes!$N$19+VLOOKUP($C8,THNL!$A$2:$G$19,5,FALSE)*Recipes!$D$40+VLOOKUP($C8,THNL!$A$2:$G$19,6,FALSE)*Recipes!$N$40+VLOOKUP($C8,THNL!$A$2:$G$19,7,FALSE)*Recipes!$I$40</f>
        <v>4</v>
      </c>
      <c r="F8" s="42">
        <f>VLOOKUP($C8,THNL!$A$2:$G$19,2,FALSE)*Recipes!$E$19+VLOOKUP($C8,THNL!$A$2:$G$19,3,FALSE)*Recipes!$J$19+VLOOKUP($C8,THNL!$A$2:$G$19,4,FALSE)*Recipes!$O$19+VLOOKUP($C8,THNL!$A$2:$G$19,5,FALSE)*Recipes!$E$40+VLOOKUP($C8,THNL!$A$2:$G$19,6,FALSE)*Recipes!$O$40+VLOOKUP($C8,THNL!$A$2:$G$19,7,FALSE)*Recipes!$J$40</f>
        <v>10</v>
      </c>
      <c r="G8" s="42">
        <f>VLOOKUP($C8,THNL!$A$2:$G$19,2,FALSE)*Recipes!$F$19+VLOOKUP($C8,THNL!$A$2:$G$19,3,FALSE)*Recipes!$K$19+VLOOKUP($C8,THNL!$A$2:$G$19,4,FALSE)*Recipes!$P$19+VLOOKUP($C8,THNL!$A$2:$G$19,5,FALSE)*Recipes!$F$40+VLOOKUP($C8,THNL!$A$2:$G$19,6,FALSE)*Recipes!$P$40+VLOOKUP($C8,THNL!$A$2:$G$19,7,FALSE)*Recipes!$K$40</f>
        <v>4</v>
      </c>
      <c r="H8" s="53" t="s">
        <v>18</v>
      </c>
      <c r="J8" s="65" t="str">
        <f xml:space="preserve"> Unit!B9</f>
        <v>Baking soda</v>
      </c>
      <c r="K8" s="42">
        <f>ROUNDUP($D8/LEFT(VLOOKUP($J8,Table13[],4,FALSE),FIND(" ",VLOOKUP($J8,Table13[],4,FALSE),1)), 0)</f>
        <v>1</v>
      </c>
      <c r="L8" s="42">
        <f>ROUNDUP(E8/LEFT(VLOOKUP($J8,Table13[],4,FALSE),FIND(" ",VLOOKUP($J8,Table13[],4,FALSE),1)), 0)</f>
        <v>1</v>
      </c>
      <c r="M8" s="42">
        <f>ROUNDUP(F8/LEFT(VLOOKUP($J8,Table13[],4,FALSE),FIND(" ",VLOOKUP($J8,Table13[],4,FALSE),1)), 0)</f>
        <v>1</v>
      </c>
      <c r="N8" s="42">
        <f>ROUNDUP(G8/LEFT(VLOOKUP($J8,Table13[],4,FALSE),FIND(" ",VLOOKUP($J8,Table13[],4,FALSE),1)), 0)</f>
        <v>1</v>
      </c>
      <c r="O8" s="53" t="s">
        <v>33</v>
      </c>
    </row>
    <row r="9" spans="3:15" x14ac:dyDescent="0.25">
      <c r="C9" s="52" t="str">
        <f xml:space="preserve"> Unit!B10</f>
        <v>Bột nở</v>
      </c>
      <c r="D9" s="42">
        <f>VLOOKUP($C9,THNL!$A$2:$G$19,2,FALSE)*Recipes!C$19+VLOOKUP($C9,THNL!$A$2:$G$19,3,FALSE)*Recipes!$H$19+VLOOKUP($C9,THNL!$A$2:$G$19,4,FALSE)*Recipes!$M$19+VLOOKUP($C9,THNL!$A$2:$G$19,5,FALSE)*Recipes!$C$40+VLOOKUP($C9,THNL!$A$2:$G$19,6,FALSE)*Recipes!$M$40+VLOOKUP($C9,THNL!$A$2:$G$19,7,FALSE)*Recipes!$H$40</f>
        <v>2</v>
      </c>
      <c r="E9" s="42">
        <f>VLOOKUP($C9,THNL!$A$2:$G$19,2,FALSE)*Recipes!$D$19+ VLOOKUP($C9,THNL!$A$2:$G$19,3,FALSE)*Recipes!$I$19+VLOOKUP($C9,THNL!$A$2:$G$19,4,FALSE)*Recipes!$N$19+VLOOKUP($C9,THNL!$A$2:$G$19,5,FALSE)*Recipes!$D$40+VLOOKUP($C9,THNL!$A$2:$G$19,6,FALSE)*Recipes!$N$40+VLOOKUP($C9,THNL!$A$2:$G$19,7,FALSE)*Recipes!$I$40</f>
        <v>4</v>
      </c>
      <c r="F9" s="42">
        <f>VLOOKUP($C9,THNL!$A$2:$G$19,2,FALSE)*Recipes!$E$19+VLOOKUP($C9,THNL!$A$2:$G$19,3,FALSE)*Recipes!$J$19+VLOOKUP($C9,THNL!$A$2:$G$19,4,FALSE)*Recipes!$O$19+VLOOKUP($C9,THNL!$A$2:$G$19,5,FALSE)*Recipes!$E$40+VLOOKUP($C9,THNL!$A$2:$G$19,6,FALSE)*Recipes!$O$40+VLOOKUP($C9,THNL!$A$2:$G$19,7,FALSE)*Recipes!$J$40</f>
        <v>1</v>
      </c>
      <c r="G9" s="42">
        <f>VLOOKUP($C9,THNL!$A$2:$G$19,2,FALSE)*Recipes!$F$19+VLOOKUP($C9,THNL!$A$2:$G$19,3,FALSE)*Recipes!$K$19+VLOOKUP($C9,THNL!$A$2:$G$19,4,FALSE)*Recipes!$P$19+VLOOKUP($C9,THNL!$A$2:$G$19,5,FALSE)*Recipes!$F$40+VLOOKUP($C9,THNL!$A$2:$G$19,6,FALSE)*Recipes!$P$40+VLOOKUP($C9,THNL!$A$2:$G$19,7,FALSE)*Recipes!$K$40</f>
        <v>2</v>
      </c>
      <c r="H9" s="53" t="s">
        <v>19</v>
      </c>
      <c r="J9" s="65" t="str">
        <f xml:space="preserve"> Unit!B10</f>
        <v>Bột nở</v>
      </c>
      <c r="K9" s="42">
        <f>ROUNDUP($D9/LEFT(VLOOKUP($J9,Table13[],4,FALSE),FIND(" ",VLOOKUP($J9,Table13[],4,FALSE),1)), 0)</f>
        <v>1</v>
      </c>
      <c r="L9" s="42">
        <f>ROUNDUP(E9/LEFT(VLOOKUP($J9,Table13[],4,FALSE),FIND(" ",VLOOKUP($J9,Table13[],4,FALSE),1)), 0)</f>
        <v>1</v>
      </c>
      <c r="M9" s="42">
        <f>ROUNDUP(F9/LEFT(VLOOKUP($J9,Table13[],4,FALSE),FIND(" ",VLOOKUP($J9,Table13[],4,FALSE),1)), 0)</f>
        <v>1</v>
      </c>
      <c r="N9" s="42">
        <f>ROUNDUP(G9/LEFT(VLOOKUP($J9,Table13[],4,FALSE),FIND(" ",VLOOKUP($J9,Table13[],4,FALSE),1)), 0)</f>
        <v>1</v>
      </c>
      <c r="O9" s="53" t="s">
        <v>34</v>
      </c>
    </row>
    <row r="10" spans="3:15" x14ac:dyDescent="0.25">
      <c r="C10" s="52" t="str">
        <f xml:space="preserve"> Unit!B11</f>
        <v>Chocolate chips</v>
      </c>
      <c r="D10" s="42">
        <f>VLOOKUP($C10,THNL!$A$2:$G$19,2,FALSE)*Recipes!C$19+VLOOKUP($C10,THNL!$A$2:$G$19,3,FALSE)*Recipes!$H$19+VLOOKUP($C10,THNL!$A$2:$G$19,4,FALSE)*Recipes!$M$19+VLOOKUP($C10,THNL!$A$2:$G$19,5,FALSE)*Recipes!$C$40+VLOOKUP($C10,THNL!$A$2:$G$19,6,FALSE)*Recipes!$M$40+VLOOKUP($C10,THNL!$A$2:$G$19,7,FALSE)*Recipes!$H$40</f>
        <v>52</v>
      </c>
      <c r="E10" s="42">
        <f>VLOOKUP($C10,THNL!$A$2:$G$19,2,FALSE)*Recipes!$D$19+ VLOOKUP($C10,THNL!$A$2:$G$19,3,FALSE)*Recipes!$I$19+VLOOKUP($C10,THNL!$A$2:$G$19,4,FALSE)*Recipes!$N$19+VLOOKUP($C10,THNL!$A$2:$G$19,5,FALSE)*Recipes!$D$40+VLOOKUP($C10,THNL!$A$2:$G$19,6,FALSE)*Recipes!$N$40+VLOOKUP($C10,THNL!$A$2:$G$19,7,FALSE)*Recipes!$I$40</f>
        <v>28</v>
      </c>
      <c r="F10" s="42">
        <f>VLOOKUP($C10,THNL!$A$2:$G$19,2,FALSE)*Recipes!$E$19+VLOOKUP($C10,THNL!$A$2:$G$19,3,FALSE)*Recipes!$J$19+VLOOKUP($C10,THNL!$A$2:$G$19,4,FALSE)*Recipes!$O$19+VLOOKUP($C10,THNL!$A$2:$G$19,5,FALSE)*Recipes!$E$40+VLOOKUP($C10,THNL!$A$2:$G$19,6,FALSE)*Recipes!$O$40+VLOOKUP($C10,THNL!$A$2:$G$19,7,FALSE)*Recipes!$J$40</f>
        <v>84</v>
      </c>
      <c r="G10" s="42">
        <f>VLOOKUP($C10,THNL!$A$2:$G$19,2,FALSE)*Recipes!$F$19+VLOOKUP($C10,THNL!$A$2:$G$19,3,FALSE)*Recipes!$K$19+VLOOKUP($C10,THNL!$A$2:$G$19,4,FALSE)*Recipes!$P$19+VLOOKUP($C10,THNL!$A$2:$G$19,5,FALSE)*Recipes!$F$40+VLOOKUP($C10,THNL!$A$2:$G$19,6,FALSE)*Recipes!$P$40+VLOOKUP($C10,THNL!$A$2:$G$19,7,FALSE)*Recipes!$K$40</f>
        <v>60</v>
      </c>
      <c r="H10" s="53" t="s">
        <v>35</v>
      </c>
      <c r="J10" s="65" t="str">
        <f xml:space="preserve"> Unit!B11</f>
        <v>Chocolate chips</v>
      </c>
      <c r="K10" s="42">
        <f>ROUNDUP($D10/LEFT(VLOOKUP($J10,Table13[],4,FALSE),FIND(" ",VLOOKUP($J10,Table13[],4,FALSE),1)), 0)</f>
        <v>5</v>
      </c>
      <c r="L10" s="42">
        <f>ROUNDUP(E10/LEFT(VLOOKUP($J10,Table13[],4,FALSE),FIND(" ",VLOOKUP($J10,Table13[],4,FALSE),1)), 0)</f>
        <v>3</v>
      </c>
      <c r="M10" s="42">
        <f>ROUNDUP(F10/LEFT(VLOOKUP($J10,Table13[],4,FALSE),FIND(" ",VLOOKUP($J10,Table13[],4,FALSE),1)), 0)</f>
        <v>7</v>
      </c>
      <c r="N10" s="42">
        <f>ROUNDUP(G10/LEFT(VLOOKUP($J10,Table13[],4,FALSE),FIND(" ",VLOOKUP($J10,Table13[],4,FALSE),1)), 0)</f>
        <v>5</v>
      </c>
      <c r="O10" s="53" t="s">
        <v>55</v>
      </c>
    </row>
    <row r="11" spans="3:15" x14ac:dyDescent="0.25">
      <c r="C11" s="52" t="str">
        <f xml:space="preserve"> Unit!B12</f>
        <v>Muối</v>
      </c>
      <c r="D11" s="42">
        <f>VLOOKUP($C11,THNL!$A$2:$G$19,2,FALSE)*Recipes!C$19+VLOOKUP($C11,THNL!$A$2:$G$19,3,FALSE)*Recipes!$H$19+VLOOKUP($C11,THNL!$A$2:$G$19,4,FALSE)*Recipes!$M$19+VLOOKUP($C11,THNL!$A$2:$G$19,5,FALSE)*Recipes!$C$40+VLOOKUP($C11,THNL!$A$2:$G$19,6,FALSE)*Recipes!$M$40+VLOOKUP($C11,THNL!$A$2:$G$19,7,FALSE)*Recipes!$H$40</f>
        <v>12.25</v>
      </c>
      <c r="E11" s="42">
        <f>VLOOKUP($C11,THNL!$A$2:$G$19,2,FALSE)*Recipes!$D$19+ VLOOKUP($C11,THNL!$A$2:$G$19,3,FALSE)*Recipes!$I$19+VLOOKUP($C11,THNL!$A$2:$G$19,4,FALSE)*Recipes!$N$19+VLOOKUP($C11,THNL!$A$2:$G$19,5,FALSE)*Recipes!$D$40+VLOOKUP($C11,THNL!$A$2:$G$19,6,FALSE)*Recipes!$N$40+VLOOKUP($C11,THNL!$A$2:$G$19,7,FALSE)*Recipes!$I$40</f>
        <v>11.5</v>
      </c>
      <c r="F11" s="42">
        <f>VLOOKUP($C11,THNL!$A$2:$G$19,2,FALSE)*Recipes!$E$19+VLOOKUP($C11,THNL!$A$2:$G$19,3,FALSE)*Recipes!$J$19+VLOOKUP($C11,THNL!$A$2:$G$19,4,FALSE)*Recipes!$O$19+VLOOKUP($C11,THNL!$A$2:$G$19,5,FALSE)*Recipes!$E$40+VLOOKUP($C11,THNL!$A$2:$G$19,6,FALSE)*Recipes!$O$40+VLOOKUP($C11,THNL!$A$2:$G$19,7,FALSE)*Recipes!$J$40</f>
        <v>17.75</v>
      </c>
      <c r="G11" s="42">
        <f>VLOOKUP($C11,THNL!$A$2:$G$19,2,FALSE)*Recipes!$F$19+VLOOKUP($C11,THNL!$A$2:$G$19,3,FALSE)*Recipes!$K$19+VLOOKUP($C11,THNL!$A$2:$G$19,4,FALSE)*Recipes!$P$19+VLOOKUP($C11,THNL!$A$2:$G$19,5,FALSE)*Recipes!$F$40+VLOOKUP($C11,THNL!$A$2:$G$19,6,FALSE)*Recipes!$P$40+VLOOKUP($C11,THNL!$A$2:$G$19,7,FALSE)*Recipes!$K$40</f>
        <v>16.25</v>
      </c>
      <c r="H11" s="53" t="s">
        <v>18</v>
      </c>
      <c r="J11" s="65" t="str">
        <f xml:space="preserve"> Unit!B12</f>
        <v>Muối</v>
      </c>
      <c r="K11" s="42">
        <f>ROUNDUP($D11/LEFT(VLOOKUP($J11,Table13[],4,FALSE),FIND(" ",VLOOKUP($J11,Table13[],4,FALSE),1)), 0)</f>
        <v>1</v>
      </c>
      <c r="L11" s="42">
        <f>ROUNDUP(E11/LEFT(VLOOKUP($J11,Table13[],4,FALSE),FIND(" ",VLOOKUP($J11,Table13[],4,FALSE),1)), 0)</f>
        <v>1</v>
      </c>
      <c r="M11" s="42">
        <f>ROUNDUP(F11/LEFT(VLOOKUP($J11,Table13[],4,FALSE),FIND(" ",VLOOKUP($J11,Table13[],4,FALSE),1)), 0)</f>
        <v>1</v>
      </c>
      <c r="N11" s="42">
        <f>ROUNDUP(G11/LEFT(VLOOKUP($J11,Table13[],4,FALSE),FIND(" ",VLOOKUP($J11,Table13[],4,FALSE),1)), 0)</f>
        <v>1</v>
      </c>
      <c r="O11" s="53" t="s">
        <v>24</v>
      </c>
    </row>
    <row r="12" spans="3:15" x14ac:dyDescent="0.25">
      <c r="C12" s="52" t="str">
        <f xml:space="preserve"> Unit!B13</f>
        <v>Đường nâu</v>
      </c>
      <c r="D12" s="42">
        <f>VLOOKUP($C12,THNL!$A$2:$G$19,2,FALSE)*Recipes!C$19+VLOOKUP($C12,THNL!$A$2:$G$19,3,FALSE)*Recipes!$H$19+VLOOKUP($C12,THNL!$A$2:$G$19,4,FALSE)*Recipes!$M$19+VLOOKUP($C12,THNL!$A$2:$G$19,5,FALSE)*Recipes!$C$40+VLOOKUP($C12,THNL!$A$2:$G$19,6,FALSE)*Recipes!$M$40+VLOOKUP($C12,THNL!$A$2:$G$19,7,FALSE)*Recipes!$H$40</f>
        <v>5</v>
      </c>
      <c r="E12" s="42">
        <f>VLOOKUP($C12,THNL!$A$2:$G$19,2,FALSE)*Recipes!$D$19+ VLOOKUP($C12,THNL!$A$2:$G$19,3,FALSE)*Recipes!$I$19+VLOOKUP($C12,THNL!$A$2:$G$19,4,FALSE)*Recipes!$N$19+VLOOKUP($C12,THNL!$A$2:$G$19,5,FALSE)*Recipes!$D$40+VLOOKUP($C12,THNL!$A$2:$G$19,6,FALSE)*Recipes!$N$40+VLOOKUP($C12,THNL!$A$2:$G$19,7,FALSE)*Recipes!$I$40</f>
        <v>3.5</v>
      </c>
      <c r="F12" s="42">
        <f>VLOOKUP($C12,THNL!$A$2:$G$19,2,FALSE)*Recipes!$E$19+VLOOKUP($C12,THNL!$A$2:$G$19,3,FALSE)*Recipes!$J$19+VLOOKUP($C12,THNL!$A$2:$G$19,4,FALSE)*Recipes!$O$19+VLOOKUP($C12,THNL!$A$2:$G$19,5,FALSE)*Recipes!$E$40+VLOOKUP($C12,THNL!$A$2:$G$19,6,FALSE)*Recipes!$O$40+VLOOKUP($C12,THNL!$A$2:$G$19,7,FALSE)*Recipes!$J$40</f>
        <v>4.25</v>
      </c>
      <c r="G12" s="42">
        <f>VLOOKUP($C12,THNL!$A$2:$G$19,2,FALSE)*Recipes!$F$19+VLOOKUP($C12,THNL!$A$2:$G$19,3,FALSE)*Recipes!$K$19+VLOOKUP($C12,THNL!$A$2:$G$19,4,FALSE)*Recipes!$P$19+VLOOKUP($C12,THNL!$A$2:$G$19,5,FALSE)*Recipes!$F$40+VLOOKUP($C12,THNL!$A$2:$G$19,6,FALSE)*Recipes!$P$40+VLOOKUP($C12,THNL!$A$2:$G$19,7,FALSE)*Recipes!$K$40</f>
        <v>2.75</v>
      </c>
      <c r="H12" s="80" t="s">
        <v>17</v>
      </c>
      <c r="J12" s="65" t="str">
        <f xml:space="preserve"> Unit!B13</f>
        <v>Đường nâu</v>
      </c>
      <c r="K12" s="42">
        <f>ROUNDUP($D12/LEFT(VLOOKUP($J12,Table13[],4,FALSE),FIND(" ",VLOOKUP($J12,Table13[],4,FALSE),1)), 0)</f>
        <v>2</v>
      </c>
      <c r="L12" s="42">
        <f>ROUNDUP(E12/LEFT(VLOOKUP($J12,Table13[],4,FALSE),FIND(" ",VLOOKUP($J12,Table13[],4,FALSE),1)), 0)</f>
        <v>1</v>
      </c>
      <c r="M12" s="42">
        <f>ROUNDUP(F12/LEFT(VLOOKUP($J12,Table13[],4,FALSE),FIND(" ",VLOOKUP($J12,Table13[],4,FALSE),1)), 0)</f>
        <v>1</v>
      </c>
      <c r="N12" s="42">
        <f>ROUNDUP(G12/LEFT(VLOOKUP($J12,Table13[],4,FALSE),FIND(" ",VLOOKUP($J12,Table13[],4,FALSE),1)), 0)</f>
        <v>1</v>
      </c>
      <c r="O12" s="80" t="s">
        <v>24</v>
      </c>
    </row>
    <row r="13" spans="3:15" x14ac:dyDescent="0.25">
      <c r="C13" s="52" t="str">
        <f xml:space="preserve"> Unit!B14</f>
        <v>Đường mật</v>
      </c>
      <c r="D13" s="42">
        <f>VLOOKUP($C13,THNL!$A$2:$G$19,2,FALSE)*Recipes!C$19+VLOOKUP($C13,THNL!$A$2:$G$19,3,FALSE)*Recipes!$H$19+VLOOKUP($C13,THNL!$A$2:$G$19,4,FALSE)*Recipes!$M$19+VLOOKUP($C13,THNL!$A$2:$G$19,5,FALSE)*Recipes!$C$40+VLOOKUP($C13,THNL!$A$2:$G$19,6,FALSE)*Recipes!$M$40+VLOOKUP($C13,THNL!$A$2:$G$19,7,FALSE)*Recipes!$H$40</f>
        <v>1.25</v>
      </c>
      <c r="E13" s="42">
        <f>VLOOKUP($C13,THNL!$A$2:$G$19,2,FALSE)*Recipes!$D$19+ VLOOKUP($C13,THNL!$A$2:$G$19,3,FALSE)*Recipes!$I$19+VLOOKUP($C13,THNL!$A$2:$G$19,4,FALSE)*Recipes!$N$19+VLOOKUP($C13,THNL!$A$2:$G$19,5,FALSE)*Recipes!$D$40+VLOOKUP($C13,THNL!$A$2:$G$19,6,FALSE)*Recipes!$N$40+VLOOKUP($C13,THNL!$A$2:$G$19,7,FALSE)*Recipes!$I$40</f>
        <v>0.5</v>
      </c>
      <c r="F13" s="42">
        <f>VLOOKUP($C13,THNL!$A$2:$G$19,2,FALSE)*Recipes!$E$19+VLOOKUP($C13,THNL!$A$2:$G$19,3,FALSE)*Recipes!$J$19+VLOOKUP($C13,THNL!$A$2:$G$19,4,FALSE)*Recipes!$O$19+VLOOKUP($C13,THNL!$A$2:$G$19,5,FALSE)*Recipes!$E$40+VLOOKUP($C13,THNL!$A$2:$G$19,6,FALSE)*Recipes!$O$40+VLOOKUP($C13,THNL!$A$2:$G$19,7,FALSE)*Recipes!$J$40</f>
        <v>1.25</v>
      </c>
      <c r="G13" s="42">
        <f>VLOOKUP($C13,THNL!$A$2:$G$19,2,FALSE)*Recipes!$F$19+VLOOKUP($C13,THNL!$A$2:$G$19,3,FALSE)*Recipes!$K$19+VLOOKUP($C13,THNL!$A$2:$G$19,4,FALSE)*Recipes!$P$19+VLOOKUP($C13,THNL!$A$2:$G$19,5,FALSE)*Recipes!$F$40+VLOOKUP($C13,THNL!$A$2:$G$19,6,FALSE)*Recipes!$P$40+VLOOKUP($C13,THNL!$A$2:$G$19,7,FALSE)*Recipes!$K$40</f>
        <v>0.25</v>
      </c>
      <c r="H13" s="53" t="s">
        <v>17</v>
      </c>
      <c r="J13" s="65" t="str">
        <f xml:space="preserve"> Unit!B14</f>
        <v>Đường mật</v>
      </c>
      <c r="K13" s="42">
        <f>ROUNDUP($D13/LEFT(VLOOKUP($J13,Table13[],4,FALSE),FIND(" ",VLOOKUP($J13,Table13[],4,FALSE),1)), 0)</f>
        <v>1</v>
      </c>
      <c r="L13" s="42">
        <f>ROUNDUP(E13/LEFT(VLOOKUP($J13,Table13[],4,FALSE),FIND(" ",VLOOKUP($J13,Table13[],4,FALSE),1)), 0)</f>
        <v>1</v>
      </c>
      <c r="M13" s="42">
        <f>ROUNDUP(F13/LEFT(VLOOKUP($J13,Table13[],4,FALSE),FIND(" ",VLOOKUP($J13,Table13[],4,FALSE),1)), 0)</f>
        <v>1</v>
      </c>
      <c r="N13" s="42">
        <f>ROUNDUP(G13/LEFT(VLOOKUP($J13,Table13[],4,FALSE),FIND(" ",VLOOKUP($J13,Table13[],4,FALSE),1)), 0)</f>
        <v>1</v>
      </c>
      <c r="O13" s="53" t="s">
        <v>34</v>
      </c>
    </row>
    <row r="14" spans="3:15" x14ac:dyDescent="0.25">
      <c r="C14" s="52" t="str">
        <f xml:space="preserve"> Unit!B15</f>
        <v>Bơ</v>
      </c>
      <c r="D14" s="42">
        <f>VLOOKUP($C14,THNL!$A$2:$G$19,2,FALSE)*Recipes!C$19+VLOOKUP($C14,THNL!$A$2:$G$19,3,FALSE)*Recipes!$H$19+VLOOKUP($C14,THNL!$A$2:$G$19,4,FALSE)*Recipes!$M$19+VLOOKUP($C14,THNL!$A$2:$G$19,5,FALSE)*Recipes!$C$40+VLOOKUP($C14,THNL!$A$2:$G$19,6,FALSE)*Recipes!$M$40+VLOOKUP($C14,THNL!$A$2:$G$19,7,FALSE)*Recipes!$H$40</f>
        <v>6</v>
      </c>
      <c r="E14" s="42">
        <f>VLOOKUP($C14,THNL!$A$2:$G$19,2,FALSE)*Recipes!$D$19+ VLOOKUP($C14,THNL!$A$2:$G$19,3,FALSE)*Recipes!$I$19+VLOOKUP($C14,THNL!$A$2:$G$19,4,FALSE)*Recipes!$N$19+VLOOKUP($C14,THNL!$A$2:$G$19,5,FALSE)*Recipes!$D$40+VLOOKUP($C14,THNL!$A$2:$G$19,6,FALSE)*Recipes!$N$40+VLOOKUP($C14,THNL!$A$2:$G$19,7,FALSE)*Recipes!$I$40</f>
        <v>4.75</v>
      </c>
      <c r="F14" s="42">
        <f>VLOOKUP($C14,THNL!$A$2:$G$19,2,FALSE)*Recipes!$E$19+VLOOKUP($C14,THNL!$A$2:$G$19,3,FALSE)*Recipes!$J$19+VLOOKUP($C14,THNL!$A$2:$G$19,4,FALSE)*Recipes!$O$19+VLOOKUP($C14,THNL!$A$2:$G$19,5,FALSE)*Recipes!$E$40+VLOOKUP($C14,THNL!$A$2:$G$19,6,FALSE)*Recipes!$O$40+VLOOKUP($C14,THNL!$A$2:$G$19,7,FALSE)*Recipes!$J$40</f>
        <v>6</v>
      </c>
      <c r="G14" s="42">
        <f>VLOOKUP($C14,THNL!$A$2:$G$19,2,FALSE)*Recipes!$F$19+VLOOKUP($C14,THNL!$A$2:$G$19,3,FALSE)*Recipes!$K$19+VLOOKUP($C14,THNL!$A$2:$G$19,4,FALSE)*Recipes!$P$19+VLOOKUP($C14,THNL!$A$2:$G$19,5,FALSE)*Recipes!$F$40+VLOOKUP($C14,THNL!$A$2:$G$19,6,FALSE)*Recipes!$P$40+VLOOKUP($C14,THNL!$A$2:$G$19,7,FALSE)*Recipes!$K$40</f>
        <v>3.5</v>
      </c>
      <c r="H14" s="53" t="s">
        <v>17</v>
      </c>
      <c r="J14" s="65" t="str">
        <f xml:space="preserve"> Unit!B15</f>
        <v>Bơ</v>
      </c>
      <c r="K14" s="42">
        <f>ROUNDUP($D14/LEFT(VLOOKUP($J14,Table13[],4,FALSE),FIND(" ",VLOOKUP($J14,Table13[],4,FALSE),1)), 0)</f>
        <v>3</v>
      </c>
      <c r="L14" s="42">
        <f>ROUNDUP(E14/LEFT(VLOOKUP($J14,Table13[],4,FALSE),FIND(" ",VLOOKUP($J14,Table13[],4,FALSE),1)), 0)</f>
        <v>3</v>
      </c>
      <c r="M14" s="42">
        <f>ROUNDUP(F14/LEFT(VLOOKUP($J14,Table13[],4,FALSE),FIND(" ",VLOOKUP($J14,Table13[],4,FALSE),1)), 0)</f>
        <v>3</v>
      </c>
      <c r="N14" s="42">
        <f>ROUNDUP(G14/LEFT(VLOOKUP($J14,Table13[],4,FALSE),FIND(" ",VLOOKUP($J14,Table13[],4,FALSE),1)), 0)</f>
        <v>2</v>
      </c>
      <c r="O14" s="53" t="s">
        <v>37</v>
      </c>
    </row>
    <row r="15" spans="3:15" x14ac:dyDescent="0.25">
      <c r="C15" s="52" t="str">
        <f xml:space="preserve"> Unit!B16</f>
        <v>Vani</v>
      </c>
      <c r="D15" s="42">
        <f>VLOOKUP($C15,THNL!$A$2:$G$19,2,FALSE)*Recipes!C$19+VLOOKUP($C15,THNL!$A$2:$G$19,3,FALSE)*Recipes!$H$19+VLOOKUP($C15,THNL!$A$2:$G$19,4,FALSE)*Recipes!$M$19+VLOOKUP($C15,THNL!$A$2:$G$19,5,FALSE)*Recipes!$C$40+VLOOKUP($C15,THNL!$A$2:$G$19,6,FALSE)*Recipes!$M$40+VLOOKUP($C15,THNL!$A$2:$G$19,7,FALSE)*Recipes!$H$40</f>
        <v>4</v>
      </c>
      <c r="E15" s="42">
        <f>VLOOKUP($C15,THNL!$A$2:$G$19,2,FALSE)*Recipes!$D$19+ VLOOKUP($C15,THNL!$A$2:$G$19,3,FALSE)*Recipes!$I$19+VLOOKUP($C15,THNL!$A$2:$G$19,4,FALSE)*Recipes!$N$19+VLOOKUP($C15,THNL!$A$2:$G$19,5,FALSE)*Recipes!$D$40+VLOOKUP($C15,THNL!$A$2:$G$19,6,FALSE)*Recipes!$N$40+VLOOKUP($C15,THNL!$A$2:$G$19,7,FALSE)*Recipes!$I$40</f>
        <v>2</v>
      </c>
      <c r="F15" s="42">
        <f>VLOOKUP($C15,THNL!$A$2:$G$19,2,FALSE)*Recipes!$E$19+VLOOKUP($C15,THNL!$A$2:$G$19,3,FALSE)*Recipes!$J$19+VLOOKUP($C15,THNL!$A$2:$G$19,4,FALSE)*Recipes!$O$19+VLOOKUP($C15,THNL!$A$2:$G$19,5,FALSE)*Recipes!$E$40+VLOOKUP($C15,THNL!$A$2:$G$19,6,FALSE)*Recipes!$O$40+VLOOKUP($C15,THNL!$A$2:$G$19,7,FALSE)*Recipes!$J$40</f>
        <v>5</v>
      </c>
      <c r="G15" s="42">
        <f>VLOOKUP($C15,THNL!$A$2:$G$19,2,FALSE)*Recipes!$F$19+VLOOKUP($C15,THNL!$A$2:$G$19,3,FALSE)*Recipes!$K$19+VLOOKUP($C15,THNL!$A$2:$G$19,4,FALSE)*Recipes!$P$19+VLOOKUP($C15,THNL!$A$2:$G$19,5,FALSE)*Recipes!$F$40+VLOOKUP($C15,THNL!$A$2:$G$19,6,FALSE)*Recipes!$P$40+VLOOKUP($C15,THNL!$A$2:$G$19,7,FALSE)*Recipes!$K$40</f>
        <v>3</v>
      </c>
      <c r="H15" s="53" t="s">
        <v>18</v>
      </c>
      <c r="J15" s="65" t="str">
        <f xml:space="preserve"> Unit!B16</f>
        <v>Vani</v>
      </c>
      <c r="K15" s="42">
        <f>ROUNDUP($D15/LEFT(VLOOKUP($J15,Table13[],4,FALSE),FIND(" ",VLOOKUP($J15,Table13[],4,FALSE),1)), 0)</f>
        <v>1</v>
      </c>
      <c r="L15" s="42">
        <f>ROUNDUP(E15/LEFT(VLOOKUP($J15,Table13[],4,FALSE),FIND(" ",VLOOKUP($J15,Table13[],4,FALSE),1)), 0)</f>
        <v>1</v>
      </c>
      <c r="M15" s="42">
        <f>ROUNDUP(F15/LEFT(VLOOKUP($J15,Table13[],4,FALSE),FIND(" ",VLOOKUP($J15,Table13[],4,FALSE),1)), 0)</f>
        <v>1</v>
      </c>
      <c r="N15" s="42">
        <f>ROUNDUP(G15/LEFT(VLOOKUP($J15,Table13[],4,FALSE),FIND(" ",VLOOKUP($J15,Table13[],4,FALSE),1)), 0)</f>
        <v>1</v>
      </c>
      <c r="O15" s="53" t="s">
        <v>26</v>
      </c>
    </row>
    <row r="16" spans="3:15" x14ac:dyDescent="0.25">
      <c r="C16" s="52" t="str">
        <f xml:space="preserve"> Unit!B17</f>
        <v>Quế</v>
      </c>
      <c r="D16" s="42">
        <f>VLOOKUP($C16,THNL!$A$2:$G$19,2,FALSE)*Recipes!C$19+VLOOKUP($C16,THNL!$A$2:$G$19,3,FALSE)*Recipes!$H$19+VLOOKUP($C16,THNL!$A$2:$G$19,4,FALSE)*Recipes!$M$19+VLOOKUP($C16,THNL!$A$2:$G$19,5,FALSE)*Recipes!$C$40+VLOOKUP($C16,THNL!$A$2:$G$19,6,FALSE)*Recipes!$M$40+VLOOKUP($C16,THNL!$A$2:$G$19,7,FALSE)*Recipes!$H$40</f>
        <v>19.75</v>
      </c>
      <c r="E16" s="42">
        <f>VLOOKUP($C16,THNL!$A$2:$G$19,2,FALSE)*Recipes!$D$19+ VLOOKUP($C16,THNL!$A$2:$G$19,3,FALSE)*Recipes!$I$19+VLOOKUP($C16,THNL!$A$2:$G$19,4,FALSE)*Recipes!$N$19+VLOOKUP($C16,THNL!$A$2:$G$19,5,FALSE)*Recipes!$D$40+VLOOKUP($C16,THNL!$A$2:$G$19,6,FALSE)*Recipes!$N$40+VLOOKUP($C16,THNL!$A$2:$G$19,7,FALSE)*Recipes!$I$40</f>
        <v>17.5</v>
      </c>
      <c r="F16" s="42">
        <f>VLOOKUP($C16,THNL!$A$2:$G$19,2,FALSE)*Recipes!$E$19+VLOOKUP($C16,THNL!$A$2:$G$19,3,FALSE)*Recipes!$J$19+VLOOKUP($C16,THNL!$A$2:$G$19,4,FALSE)*Recipes!$O$19+VLOOKUP($C16,THNL!$A$2:$G$19,5,FALSE)*Recipes!$E$40+VLOOKUP($C16,THNL!$A$2:$G$19,6,FALSE)*Recipes!$O$40+VLOOKUP($C16,THNL!$A$2:$G$19,7,FALSE)*Recipes!$J$40</f>
        <v>7.75</v>
      </c>
      <c r="G16" s="42">
        <f>VLOOKUP($C16,THNL!$A$2:$G$19,2,FALSE)*Recipes!$F$19+VLOOKUP($C16,THNL!$A$2:$G$19,3,FALSE)*Recipes!$K$19+VLOOKUP($C16,THNL!$A$2:$G$19,4,FALSE)*Recipes!$P$19+VLOOKUP($C16,THNL!$A$2:$G$19,5,FALSE)*Recipes!$F$40+VLOOKUP($C16,THNL!$A$2:$G$19,6,FALSE)*Recipes!$P$40+VLOOKUP($C16,THNL!$A$2:$G$19,7,FALSE)*Recipes!$K$40</f>
        <v>4.75</v>
      </c>
      <c r="H16" s="53" t="s">
        <v>18</v>
      </c>
      <c r="J16" s="65" t="str">
        <f xml:space="preserve"> Unit!B17</f>
        <v>Quế</v>
      </c>
      <c r="K16" s="42">
        <f>ROUNDUP($D16/LEFT(VLOOKUP($J16,Table13[],4,FALSE),FIND(" ",VLOOKUP($J16,Table13[],4,FALSE),1)), 0)</f>
        <v>1</v>
      </c>
      <c r="L16" s="42">
        <f>ROUNDUP(E16/LEFT(VLOOKUP($J16,Table13[],4,FALSE),FIND(" ",VLOOKUP($J16,Table13[],4,FALSE),1)), 0)</f>
        <v>1</v>
      </c>
      <c r="M16" s="42">
        <f>ROUNDUP(F16/LEFT(VLOOKUP($J16,Table13[],4,FALSE),FIND(" ",VLOOKUP($J16,Table13[],4,FALSE),1)), 0)</f>
        <v>1</v>
      </c>
      <c r="N16" s="42">
        <f>ROUNDUP(G16/LEFT(VLOOKUP($J16,Table13[],4,FALSE),FIND(" ",VLOOKUP($J16,Table13[],4,FALSE),1)), 0)</f>
        <v>1</v>
      </c>
      <c r="O16" s="53" t="s">
        <v>25</v>
      </c>
    </row>
    <row r="17" spans="3:15" x14ac:dyDescent="0.25">
      <c r="C17" s="52" t="str">
        <f xml:space="preserve"> Unit!B18</f>
        <v xml:space="preserve">Kem </v>
      </c>
      <c r="D17" s="42">
        <f>VLOOKUP($C17,THNL!$A$2:$G$19,2,FALSE)*Recipes!C$19+VLOOKUP($C17,THNL!$A$2:$G$19,3,FALSE)*Recipes!$H$19+VLOOKUP($C17,THNL!$A$2:$G$19,4,FALSE)*Recipes!$M$19+VLOOKUP($C17,THNL!$A$2:$G$19,5,FALSE)*Recipes!$C$40+VLOOKUP($C17,THNL!$A$2:$G$19,6,FALSE)*Recipes!$M$40+VLOOKUP($C17,THNL!$A$2:$G$19,7,FALSE)*Recipes!$H$40</f>
        <v>5</v>
      </c>
      <c r="E17" s="42">
        <f>VLOOKUP($C17,THNL!$A$2:$G$19,2,FALSE)*Recipes!$D$19+ VLOOKUP($C17,THNL!$A$2:$G$19,3,FALSE)*Recipes!$I$19+VLOOKUP($C17,THNL!$A$2:$G$19,4,FALSE)*Recipes!$N$19+VLOOKUP($C17,THNL!$A$2:$G$19,5,FALSE)*Recipes!$D$40+VLOOKUP($C17,THNL!$A$2:$G$19,6,FALSE)*Recipes!$N$40+VLOOKUP($C17,THNL!$A$2:$G$19,7,FALSE)*Recipes!$I$40</f>
        <v>6</v>
      </c>
      <c r="F17" s="42">
        <f>VLOOKUP($C17,THNL!$A$2:$G$19,2,FALSE)*Recipes!$E$19+VLOOKUP($C17,THNL!$A$2:$G$19,3,FALSE)*Recipes!$J$19+VLOOKUP($C17,THNL!$A$2:$G$19,4,FALSE)*Recipes!$O$19+VLOOKUP($C17,THNL!$A$2:$G$19,5,FALSE)*Recipes!$E$40+VLOOKUP($C17,THNL!$A$2:$G$19,6,FALSE)*Recipes!$O$40+VLOOKUP($C17,THNL!$A$2:$G$19,7,FALSE)*Recipes!$J$40</f>
        <v>13</v>
      </c>
      <c r="G17" s="42">
        <f>VLOOKUP($C17,THNL!$A$2:$G$19,2,FALSE)*Recipes!$F$19+VLOOKUP($C17,THNL!$A$2:$G$19,3,FALSE)*Recipes!$K$19+VLOOKUP($C17,THNL!$A$2:$G$19,4,FALSE)*Recipes!$P$19+VLOOKUP($C17,THNL!$A$2:$G$19,5,FALSE)*Recipes!$F$40+VLOOKUP($C17,THNL!$A$2:$G$19,6,FALSE)*Recipes!$P$40+VLOOKUP($C17,THNL!$A$2:$G$19,7,FALSE)*Recipes!$K$40</f>
        <v>13.5</v>
      </c>
      <c r="H17" s="53" t="s">
        <v>17</v>
      </c>
      <c r="J17" s="65" t="str">
        <f xml:space="preserve"> Unit!B18</f>
        <v xml:space="preserve">Kem </v>
      </c>
      <c r="K17" s="42">
        <f>ROUNDUP($D17/LEFT(VLOOKUP($J17,Table13[],4,FALSE),FIND(" ",VLOOKUP($J17,Table13[],4,FALSE),1)), 0)</f>
        <v>3</v>
      </c>
      <c r="L17" s="42">
        <f>ROUNDUP(E17/LEFT(VLOOKUP($J17,Table13[],4,FALSE),FIND(" ",VLOOKUP($J17,Table13[],4,FALSE),1)), 0)</f>
        <v>3</v>
      </c>
      <c r="M17" s="42">
        <f>ROUNDUP(F17/LEFT(VLOOKUP($J17,Table13[],4,FALSE),FIND(" ",VLOOKUP($J17,Table13[],4,FALSE),1)), 0)</f>
        <v>7</v>
      </c>
      <c r="N17" s="42">
        <f>ROUNDUP(G17/LEFT(VLOOKUP($J17,Table13[],4,FALSE),FIND(" ",VLOOKUP($J17,Table13[],4,FALSE),1)), 0)</f>
        <v>7</v>
      </c>
      <c r="O17" s="53" t="s">
        <v>24</v>
      </c>
    </row>
    <row r="18" spans="3:15" x14ac:dyDescent="0.25">
      <c r="C18" s="52" t="str">
        <f xml:space="preserve"> Unit!B19</f>
        <v>Đường bột</v>
      </c>
      <c r="D18" s="42">
        <f>VLOOKUP($C18,THNL!$A$2:$G$19,2,FALSE)*Recipes!C$19+VLOOKUP($C18,THNL!$A$2:$G$19,3,FALSE)*Recipes!$H$19+VLOOKUP($C18,THNL!$A$2:$G$19,4,FALSE)*Recipes!$M$19+VLOOKUP($C18,THNL!$A$2:$G$19,5,FALSE)*Recipes!$C$40+VLOOKUP($C18,THNL!$A$2:$G$19,6,FALSE)*Recipes!$M$40+VLOOKUP($C18,THNL!$A$2:$G$19,7,FALSE)*Recipes!$H$40</f>
        <v>2.25</v>
      </c>
      <c r="E18" s="42">
        <f>VLOOKUP($C18,THNL!$A$2:$G$19,2,FALSE)*Recipes!$D$19+ VLOOKUP($C18,THNL!$A$2:$G$19,3,FALSE)*Recipes!$I$19+VLOOKUP($C18,THNL!$A$2:$G$19,4,FALSE)*Recipes!$N$19+VLOOKUP($C18,THNL!$A$2:$G$19,5,FALSE)*Recipes!$D$40+VLOOKUP($C18,THNL!$A$2:$G$19,6,FALSE)*Recipes!$N$40+VLOOKUP($C18,THNL!$A$2:$G$19,7,FALSE)*Recipes!$I$40</f>
        <v>4.25</v>
      </c>
      <c r="F18" s="42">
        <f>VLOOKUP($C18,THNL!$A$2:$G$19,2,FALSE)*Recipes!$E$19+VLOOKUP($C18,THNL!$A$2:$G$19,3,FALSE)*Recipes!$J$19+VLOOKUP($C18,THNL!$A$2:$G$19,4,FALSE)*Recipes!$O$19+VLOOKUP($C18,THNL!$A$2:$G$19,5,FALSE)*Recipes!$E$40+VLOOKUP($C18,THNL!$A$2:$G$19,6,FALSE)*Recipes!$O$40+VLOOKUP($C18,THNL!$A$2:$G$19,7,FALSE)*Recipes!$J$40</f>
        <v>2.5</v>
      </c>
      <c r="G18" s="42">
        <f>VLOOKUP($C18,THNL!$A$2:$G$19,2,FALSE)*Recipes!$F$19+VLOOKUP($C18,THNL!$A$2:$G$19,3,FALSE)*Recipes!$K$19+VLOOKUP($C18,THNL!$A$2:$G$19,4,FALSE)*Recipes!$P$19+VLOOKUP($C18,THNL!$A$2:$G$19,5,FALSE)*Recipes!$F$40+VLOOKUP($C18,THNL!$A$2:$G$19,6,FALSE)*Recipes!$P$40+VLOOKUP($C18,THNL!$A$2:$G$19,7,FALSE)*Recipes!$K$40</f>
        <v>3.5</v>
      </c>
      <c r="H18" s="53" t="s">
        <v>17</v>
      </c>
      <c r="J18" s="65" t="str">
        <f xml:space="preserve"> Unit!B19</f>
        <v>Đường bột</v>
      </c>
      <c r="K18" s="42">
        <f>ROUNDUP($D18/LEFT(VLOOKUP($J18,Table13[],4,FALSE),FIND(" ",VLOOKUP($J18,Table13[],4,FALSE),1)), 0)</f>
        <v>1</v>
      </c>
      <c r="L18" s="42">
        <f>ROUNDUP(E18/LEFT(VLOOKUP($J18,Table13[],4,FALSE),FIND(" ",VLOOKUP($J18,Table13[],4,FALSE),1)), 0)</f>
        <v>1</v>
      </c>
      <c r="M18" s="42">
        <f>ROUNDUP(F18/LEFT(VLOOKUP($J18,Table13[],4,FALSE),FIND(" ",VLOOKUP($J18,Table13[],4,FALSE),1)), 0)</f>
        <v>1</v>
      </c>
      <c r="N18" s="42">
        <f>ROUNDUP(G18/LEFT(VLOOKUP($J18,Table13[],4,FALSE),FIND(" ",VLOOKUP($J18,Table13[],4,FALSE),1)), 0)</f>
        <v>1</v>
      </c>
      <c r="O18" s="53" t="s">
        <v>32</v>
      </c>
    </row>
    <row r="19" spans="3:15" x14ac:dyDescent="0.25">
      <c r="C19" s="52" t="str">
        <f xml:space="preserve"> Unit!B20</f>
        <v>Nước chanh</v>
      </c>
      <c r="D19" s="42">
        <f>VLOOKUP($C19,THNL!$A$2:$G$19,2,FALSE)*Recipes!C$19+VLOOKUP($C19,THNL!$A$2:$G$19,3,FALSE)*Recipes!$H$19+VLOOKUP($C19,THNL!$A$2:$G$19,4,FALSE)*Recipes!$M$19+VLOOKUP($C19,THNL!$A$2:$G$19,5,FALSE)*Recipes!$C$40+VLOOKUP($C19,THNL!$A$2:$G$19,6,FALSE)*Recipes!$M$40+VLOOKUP($C19,THNL!$A$2:$G$19,7,FALSE)*Recipes!$H$40</f>
        <v>8</v>
      </c>
      <c r="E19" s="42">
        <f>VLOOKUP($C19,THNL!$A$2:$G$19,2,FALSE)*Recipes!$D$19+ VLOOKUP($C19,THNL!$A$2:$G$19,3,FALSE)*Recipes!$I$19+VLOOKUP($C19,THNL!$A$2:$G$19,4,FALSE)*Recipes!$N$19+VLOOKUP($C19,THNL!$A$2:$G$19,5,FALSE)*Recipes!$D$40+VLOOKUP($C19,THNL!$A$2:$G$19,6,FALSE)*Recipes!$N$40+VLOOKUP($C19,THNL!$A$2:$G$19,7,FALSE)*Recipes!$I$40</f>
        <v>16</v>
      </c>
      <c r="F19" s="42">
        <f>VLOOKUP($C19,THNL!$A$2:$G$19,2,FALSE)*Recipes!$E$19+VLOOKUP($C19,THNL!$A$2:$G$19,3,FALSE)*Recipes!$J$19+VLOOKUP($C19,THNL!$A$2:$G$19,4,FALSE)*Recipes!$O$19+VLOOKUP($C19,THNL!$A$2:$G$19,5,FALSE)*Recipes!$E$40+VLOOKUP($C19,THNL!$A$2:$G$19,6,FALSE)*Recipes!$O$40+VLOOKUP($C19,THNL!$A$2:$G$19,7,FALSE)*Recipes!$J$40</f>
        <v>4</v>
      </c>
      <c r="G19" s="42">
        <f>VLOOKUP($C19,THNL!$A$2:$G$19,2,FALSE)*Recipes!$F$19+VLOOKUP($C19,THNL!$A$2:$G$19,3,FALSE)*Recipes!$K$19+VLOOKUP($C19,THNL!$A$2:$G$19,4,FALSE)*Recipes!$P$19+VLOOKUP($C19,THNL!$A$2:$G$19,5,FALSE)*Recipes!$F$40+VLOOKUP($C19,THNL!$A$2:$G$19,6,FALSE)*Recipes!$P$40+VLOOKUP($C19,THNL!$A$2:$G$19,7,FALSE)*Recipes!$K$40</f>
        <v>8</v>
      </c>
      <c r="H19" s="53" t="s">
        <v>18</v>
      </c>
      <c r="J19" s="65" t="str">
        <f xml:space="preserve"> Unit!B20</f>
        <v>Nước chanh</v>
      </c>
      <c r="K19" s="42">
        <f>ROUNDUP($D19/LEFT(VLOOKUP($J19,Table13[],4,FALSE),FIND(" ",VLOOKUP($J19,Table13[],4,FALSE),1)), 0)</f>
        <v>1</v>
      </c>
      <c r="L19" s="42">
        <f>ROUNDUP(E19/LEFT(VLOOKUP($J19,Table13[],4,FALSE),FIND(" ",VLOOKUP($J19,Table13[],4,FALSE),1)), 0)</f>
        <v>1</v>
      </c>
      <c r="M19" s="42">
        <f>ROUNDUP(F19/LEFT(VLOOKUP($J19,Table13[],4,FALSE),FIND(" ",VLOOKUP($J19,Table13[],4,FALSE),1)), 0)</f>
        <v>1</v>
      </c>
      <c r="N19" s="42">
        <f>ROUNDUP(G19/LEFT(VLOOKUP($J19,Table13[],4,FALSE),FIND(" ",VLOOKUP($J19,Table13[],4,FALSE),1)), 0)</f>
        <v>1</v>
      </c>
      <c r="O19" s="53" t="s">
        <v>26</v>
      </c>
    </row>
    <row r="20" spans="3:15" x14ac:dyDescent="0.25">
      <c r="C20" s="52" t="str">
        <f xml:space="preserve"> Unit!B21</f>
        <v>Bột vỏ chanh</v>
      </c>
      <c r="D20" s="42">
        <f>VLOOKUP($C20,THNL!$A$2:$G$19,2,FALSE)*Recipes!C$19+VLOOKUP($C20,THNL!$A$2:$G$19,3,FALSE)*Recipes!$H$19+VLOOKUP($C20,THNL!$A$2:$G$19,4,FALSE)*Recipes!$M$19+VLOOKUP($C20,THNL!$A$2:$G$19,5,FALSE)*Recipes!$C$40+VLOOKUP($C20,THNL!$A$2:$G$19,6,FALSE)*Recipes!$M$40+VLOOKUP($C20,THNL!$A$2:$G$19,7,FALSE)*Recipes!$H$40</f>
        <v>3</v>
      </c>
      <c r="E20" s="42">
        <f>VLOOKUP($C20,THNL!$A$2:$G$19,2,FALSE)*Recipes!$D$19+ VLOOKUP($C20,THNL!$A$2:$G$19,3,FALSE)*Recipes!$I$19+VLOOKUP($C20,THNL!$A$2:$G$19,4,FALSE)*Recipes!$N$19+VLOOKUP($C20,THNL!$A$2:$G$19,5,FALSE)*Recipes!$D$40+VLOOKUP($C20,THNL!$A$2:$G$19,6,FALSE)*Recipes!$N$40+VLOOKUP($C20,THNL!$A$2:$G$19,7,FALSE)*Recipes!$I$40</f>
        <v>6</v>
      </c>
      <c r="F20" s="42">
        <f>VLOOKUP($C20,THNL!$A$2:$G$19,2,FALSE)*Recipes!$E$19+VLOOKUP($C20,THNL!$A$2:$G$19,3,FALSE)*Recipes!$J$19+VLOOKUP($C20,THNL!$A$2:$G$19,4,FALSE)*Recipes!$O$19+VLOOKUP($C20,THNL!$A$2:$G$19,5,FALSE)*Recipes!$E$40+VLOOKUP($C20,THNL!$A$2:$G$19,6,FALSE)*Recipes!$O$40+VLOOKUP($C20,THNL!$A$2:$G$19,7,FALSE)*Recipes!$J$40</f>
        <v>1.5</v>
      </c>
      <c r="G20" s="42">
        <f>VLOOKUP($C20,THNL!$A$2:$G$19,2,FALSE)*Recipes!$F$19+VLOOKUP($C20,THNL!$A$2:$G$19,3,FALSE)*Recipes!$K$19+VLOOKUP($C20,THNL!$A$2:$G$19,4,FALSE)*Recipes!$P$19+VLOOKUP($C20,THNL!$A$2:$G$19,5,FALSE)*Recipes!$F$40+VLOOKUP($C20,THNL!$A$2:$G$19,6,FALSE)*Recipes!$P$40+VLOOKUP($C20,THNL!$A$2:$G$19,7,FALSE)*Recipes!$K$40</f>
        <v>3</v>
      </c>
      <c r="H20" s="53" t="s">
        <v>18</v>
      </c>
      <c r="J20" s="65" t="str">
        <f xml:space="preserve"> Unit!B21</f>
        <v>Bột vỏ chanh</v>
      </c>
      <c r="K20" s="42">
        <f>ROUNDUP($D20/LEFT(VLOOKUP($J20,Table13[],4,FALSE),FIND(" ",VLOOKUP($J20,Table13[],4,FALSE),1)), 0)</f>
        <v>1</v>
      </c>
      <c r="L20" s="42">
        <f>ROUNDUP(E20/LEFT(VLOOKUP($J20,Table13[],4,FALSE),FIND(" ",VLOOKUP($J20,Table13[],4,FALSE),1)), 0)</f>
        <v>1</v>
      </c>
      <c r="M20" s="42">
        <f>ROUNDUP(F20/LEFT(VLOOKUP($J20,Table13[],4,FALSE),FIND(" ",VLOOKUP($J20,Table13[],4,FALSE),1)), 0)</f>
        <v>1</v>
      </c>
      <c r="N20" s="42">
        <f>ROUNDUP(G20/LEFT(VLOOKUP($J20,Table13[],4,FALSE),FIND(" ",VLOOKUP($J20,Table13[],4,FALSE),1)), 0)</f>
        <v>1</v>
      </c>
      <c r="O20" s="53" t="s">
        <v>27</v>
      </c>
    </row>
    <row r="21" spans="3:15" x14ac:dyDescent="0.25">
      <c r="C21" s="52" t="str">
        <f xml:space="preserve"> Unit!B22</f>
        <v>Gừng bột</v>
      </c>
      <c r="D21" s="42">
        <f>VLOOKUP($C21,THNL!$A$2:$G$19,2,FALSE)*Recipes!C$19+VLOOKUP($C21,THNL!$A$2:$G$19,3,FALSE)*Recipes!$H$19+VLOOKUP($C21,THNL!$A$2:$G$19,4,FALSE)*Recipes!$M$19+VLOOKUP($C21,THNL!$A$2:$G$19,5,FALSE)*Recipes!$C$40+VLOOKUP($C21,THNL!$A$2:$G$19,6,FALSE)*Recipes!$M$40+VLOOKUP($C21,THNL!$A$2:$G$19,7,FALSE)*Recipes!$H$40</f>
        <v>2.5</v>
      </c>
      <c r="E21" s="42">
        <f>VLOOKUP($C21,THNL!$A$2:$G$19,2,FALSE)*Recipes!$D$19+ VLOOKUP($C21,THNL!$A$2:$G$19,3,FALSE)*Recipes!$I$19+VLOOKUP($C21,THNL!$A$2:$G$19,4,FALSE)*Recipes!$N$19+VLOOKUP($C21,THNL!$A$2:$G$19,5,FALSE)*Recipes!$D$40+VLOOKUP($C21,THNL!$A$2:$G$19,6,FALSE)*Recipes!$N$40+VLOOKUP($C21,THNL!$A$2:$G$19,7,FALSE)*Recipes!$I$40</f>
        <v>1</v>
      </c>
      <c r="F21" s="42">
        <f>VLOOKUP($C21,THNL!$A$2:$G$19,2,FALSE)*Recipes!$E$19+VLOOKUP($C21,THNL!$A$2:$G$19,3,FALSE)*Recipes!$J$19+VLOOKUP($C21,THNL!$A$2:$G$19,4,FALSE)*Recipes!$O$19+VLOOKUP($C21,THNL!$A$2:$G$19,5,FALSE)*Recipes!$E$40+VLOOKUP($C21,THNL!$A$2:$G$19,6,FALSE)*Recipes!$O$40+VLOOKUP($C21,THNL!$A$2:$G$19,7,FALSE)*Recipes!$J$40</f>
        <v>2.5</v>
      </c>
      <c r="G21" s="42">
        <f>VLOOKUP($C21,THNL!$A$2:$G$19,2,FALSE)*Recipes!$F$19+VLOOKUP($C21,THNL!$A$2:$G$19,3,FALSE)*Recipes!$K$19+VLOOKUP($C21,THNL!$A$2:$G$19,4,FALSE)*Recipes!$P$19+VLOOKUP($C21,THNL!$A$2:$G$19,5,FALSE)*Recipes!$F$40+VLOOKUP($C21,THNL!$A$2:$G$19,6,FALSE)*Recipes!$P$40+VLOOKUP($C21,THNL!$A$2:$G$19,7,FALSE)*Recipes!$K$40</f>
        <v>0.5</v>
      </c>
      <c r="H21" s="53" t="s">
        <v>17</v>
      </c>
      <c r="J21" s="65" t="str">
        <f xml:space="preserve"> Unit!B22</f>
        <v>Gừng bột</v>
      </c>
      <c r="K21" s="42">
        <f>ROUNDUP($D21/LEFT(VLOOKUP($J21,Table13[],4,FALSE),FIND(" ",VLOOKUP($J21,Table13[],4,FALSE),1)), 0)</f>
        <v>1</v>
      </c>
      <c r="L21" s="42">
        <f>ROUNDUP(E21/LEFT(VLOOKUP($J21,Table13[],4,FALSE),FIND(" ",VLOOKUP($J21,Table13[],4,FALSE),1)), 0)</f>
        <v>1</v>
      </c>
      <c r="M21" s="42">
        <f>ROUNDUP(F21/LEFT(VLOOKUP($J21,Table13[],4,FALSE),FIND(" ",VLOOKUP($J21,Table13[],4,FALSE),1)), 0)</f>
        <v>1</v>
      </c>
      <c r="N21" s="42">
        <f>ROUNDUP(G21/LEFT(VLOOKUP($J21,Table13[],4,FALSE),FIND(" ",VLOOKUP($J21,Table13[],4,FALSE),1)), 0)</f>
        <v>1</v>
      </c>
      <c r="O21" s="53" t="s">
        <v>23</v>
      </c>
    </row>
    <row r="22" spans="3:15" ht="15.75" thickBot="1" x14ac:dyDescent="0.3">
      <c r="C22" s="55" t="str">
        <f xml:space="preserve"> Unit!B23</f>
        <v>Men</v>
      </c>
      <c r="D22" s="42">
        <f>VLOOKUP($C22,THNL!$A$2:$G$19,2,FALSE)*Recipes!C$19+VLOOKUP($C22,THNL!$A$2:$G$19,3,FALSE)*Recipes!$H$19+VLOOKUP($C22,THNL!$A$2:$G$19,4,FALSE)*Recipes!$M$19+VLOOKUP($C22,THNL!$A$2:$G$19,5,FALSE)*Recipes!$C$40+VLOOKUP($C22,THNL!$A$2:$G$19,6,FALSE)*Recipes!$M$40+VLOOKUP($C22,THNL!$A$2:$G$19,7,FALSE)*Recipes!$H$40</f>
        <v>2</v>
      </c>
      <c r="E22" s="42">
        <f>VLOOKUP($C22,THNL!$A$2:$G$19,2,FALSE)*Recipes!$D$19+ VLOOKUP($C22,THNL!$A$2:$G$19,3,FALSE)*Recipes!$I$19+VLOOKUP($C22,THNL!$A$2:$G$19,4,FALSE)*Recipes!$N$19+VLOOKUP($C22,THNL!$A$2:$G$19,5,FALSE)*Recipes!$D$40+VLOOKUP($C22,THNL!$A$2:$G$19,6,FALSE)*Recipes!$N$40+VLOOKUP($C22,THNL!$A$2:$G$19,7,FALSE)*Recipes!$I$40</f>
        <v>2</v>
      </c>
      <c r="F22" s="42">
        <f>VLOOKUP($C22,THNL!$A$2:$G$19,2,FALSE)*Recipes!$E$19+VLOOKUP($C22,THNL!$A$2:$G$19,3,FALSE)*Recipes!$J$19+VLOOKUP($C22,THNL!$A$2:$G$19,4,FALSE)*Recipes!$O$19+VLOOKUP($C22,THNL!$A$2:$G$19,5,FALSE)*Recipes!$E$40+VLOOKUP($C22,THNL!$A$2:$G$19,6,FALSE)*Recipes!$O$40+VLOOKUP($C22,THNL!$A$2:$G$19,7,FALSE)*Recipes!$J$40</f>
        <v>6.25</v>
      </c>
      <c r="G22" s="42">
        <f>VLOOKUP($C22,THNL!$A$2:$G$19,2,FALSE)*Recipes!$F$19+VLOOKUP($C22,THNL!$A$2:$G$19,3,FALSE)*Recipes!$K$19+VLOOKUP($C22,THNL!$A$2:$G$19,4,FALSE)*Recipes!$P$19+VLOOKUP($C22,THNL!$A$2:$G$19,5,FALSE)*Recipes!$F$40+VLOOKUP($C22,THNL!$A$2:$G$19,6,FALSE)*Recipes!$P$40+VLOOKUP($C22,THNL!$A$2:$G$19,7,FALSE)*Recipes!$K$40</f>
        <v>6.25</v>
      </c>
      <c r="H22" s="56" t="s">
        <v>35</v>
      </c>
      <c r="J22" s="66" t="str">
        <f xml:space="preserve"> Unit!B23</f>
        <v>Men</v>
      </c>
      <c r="K22" s="42">
        <f>ROUNDUP($D22/LEFT(VLOOKUP($J22,Table13[],4,FALSE),FIND(" ",VLOOKUP($J22,Table13[],4,FALSE),1)), 0)</f>
        <v>1</v>
      </c>
      <c r="L22" s="42">
        <f>ROUNDUP(E22/LEFT(VLOOKUP($J22,Table13[],4,FALSE),FIND(" ",VLOOKUP($J22,Table13[],4,FALSE),1)), 0)</f>
        <v>1</v>
      </c>
      <c r="M22" s="42">
        <f>ROUNDUP(F22/LEFT(VLOOKUP($J22,Table13[],4,FALSE),FIND(" ",VLOOKUP($J22,Table13[],4,FALSE),1)), 0)</f>
        <v>2</v>
      </c>
      <c r="N22" s="42">
        <f>ROUNDUP(G22/LEFT(VLOOKUP($J22,Table13[],4,FALSE),FIND(" ",VLOOKUP($J22,Table13[],4,FALSE),1)), 0)</f>
        <v>2</v>
      </c>
      <c r="O22" s="56" t="s">
        <v>34</v>
      </c>
    </row>
    <row r="23" spans="3:15" x14ac:dyDescent="0.25">
      <c r="J23" s="8"/>
      <c r="K23" s="8"/>
      <c r="L23" s="8"/>
    </row>
    <row r="24" spans="3:15" ht="15.75" thickBot="1" x14ac:dyDescent="0.3">
      <c r="O24" s="7"/>
    </row>
    <row r="25" spans="3:15" s="6" customFormat="1" ht="24.75" customHeight="1" x14ac:dyDescent="0.25">
      <c r="C25" s="107" t="s">
        <v>109</v>
      </c>
      <c r="D25" s="108"/>
      <c r="E25" s="108"/>
      <c r="F25" s="108"/>
      <c r="G25" s="109"/>
      <c r="H25" s="59"/>
      <c r="O25" s="67"/>
    </row>
    <row r="26" spans="3:15" s="6" customFormat="1" ht="19.5" customHeight="1" x14ac:dyDescent="0.25">
      <c r="C26" s="110" t="s">
        <v>110</v>
      </c>
      <c r="D26" s="111"/>
      <c r="E26" s="111"/>
      <c r="F26" s="111"/>
      <c r="G26" s="112"/>
      <c r="H26" s="59"/>
      <c r="O26" s="67"/>
    </row>
    <row r="27" spans="3:15" ht="33.75" customHeight="1" x14ac:dyDescent="0.25">
      <c r="C27" s="104" t="s">
        <v>84</v>
      </c>
      <c r="D27" s="105" t="s">
        <v>91</v>
      </c>
      <c r="E27" s="105" t="s">
        <v>92</v>
      </c>
      <c r="F27" s="105" t="s">
        <v>94</v>
      </c>
      <c r="G27" s="106" t="s">
        <v>93</v>
      </c>
      <c r="H27" s="6"/>
      <c r="O27" s="7"/>
    </row>
    <row r="28" spans="3:15" ht="41.25" customHeight="1" x14ac:dyDescent="0.25">
      <c r="C28" s="104"/>
      <c r="D28" s="105"/>
      <c r="E28" s="105"/>
      <c r="F28" s="105"/>
      <c r="G28" s="106"/>
      <c r="H28" s="6"/>
      <c r="O28" s="7"/>
    </row>
    <row r="29" spans="3:15" x14ac:dyDescent="0.25">
      <c r="C29" s="52" t="str">
        <f xml:space="preserve"> Unit!B6</f>
        <v>Trứng</v>
      </c>
      <c r="D29" s="60">
        <f>IF($C$26="VND",LEFT(VLOOKUP($C29,Table13[],5,FALSE),FIND(" ",VLOOKUP($C29,Table13[],5,FALSE)))*VLOOKUP($C29,$J$5:$K$22,2,FALSE),(LEFT(VLOOKUP($C29,Table13[],5,FALSE),FIND(" ",VLOOKUP($C29,Table13[],5,FALSE)))*VLOOKUP($C29,$J$5:$K$22,2,FALSE))/Dashboard!$I$4)</f>
        <v>80000</v>
      </c>
      <c r="E29" s="60">
        <f>IF($C$26="VND",LEFT(VLOOKUP($C29,Table13[],5,FALSE),FIND(" ",VLOOKUP($C29,Table13[],5,FALSE)))*VLOOKUP($C29,$J$5:$L$22,3,FALSE),LEFT(VLOOKUP($C29,Table13[],5,FALSE),FIND(" ",VLOOKUP($C29,Table13[],5,FALSE)))*VLOOKUP($C29,$J$5:$L$22,3,FALSE)/Dashboard!$I$4)</f>
        <v>80000</v>
      </c>
      <c r="F29" s="60">
        <f>IF($C$26="VND",LEFT(VLOOKUP($C29,Table13[],5,FALSE),FIND(" ",VLOOKUP($C29,Table13[],5,FALSE)))*VLOOKUP($C29,J5:M22,4,FALSE),LEFT(VLOOKUP($C29,Table13[],5,FALSE),FIND(" ",VLOOKUP($C29,Table13[],5,FALSE)))*VLOOKUP($C29,J5:M22,4,FALSE)/Dashboard!$I$4)</f>
        <v>80000</v>
      </c>
      <c r="G29" s="86">
        <f>IF($C$26="VND",LEFT(VLOOKUP($C29,Table13[],5,FALSE),FIND(" ",VLOOKUP($C29,Table13[],5,FALSE)))*VLOOKUP($C29,J5:N22,5,FALSE),ROUND(LEFT(VLOOKUP($C29,Table13[],5,FALSE),FIND(" ",VLOOKUP($C29,Table13[],5,FALSE)))*VLOOKUP($C29,J5:N22,5,FALSE)/Dashboard!$I$4,0))</f>
        <v>80000</v>
      </c>
      <c r="H29" s="6"/>
      <c r="O29" s="7"/>
    </row>
    <row r="30" spans="3:15" x14ac:dyDescent="0.25">
      <c r="C30" s="52" t="str">
        <f xml:space="preserve"> Unit!B7</f>
        <v>Đường</v>
      </c>
      <c r="D30" s="60">
        <f>IF($C$26="VND",LEFT(VLOOKUP($C30,Table13[],5,FALSE),FIND(" ",VLOOKUP($C30,Table13[],5,FALSE)))*VLOOKUP($C30,$J$5:$K$22,2,FALSE),(LEFT(VLOOKUP($C30,Table13[],5,FALSE),FIND(" ",VLOOKUP($C30,Table13[],5,FALSE)))*VLOOKUP($C30,$J$5:$K$22,2,FALSE))/Dashboard!$I$4)</f>
        <v>40000</v>
      </c>
      <c r="E30" s="60">
        <f>IF($C$26="VND",LEFT(VLOOKUP($C30,Table13[],5,FALSE),FIND(" ",VLOOKUP($C30,Table13[],5,FALSE)))*VLOOKUP($C30,$J$5:$L$22,3,FALSE),LEFT(VLOOKUP($C30,Table13[],5,FALSE),FIND(" ",VLOOKUP($C30,Table13[],5,FALSE)))*VLOOKUP($C30,$J$5:$L$22,3,FALSE)/Dashboard!$I$4)</f>
        <v>20000</v>
      </c>
      <c r="F30" s="60">
        <f>IF($C$26="VND",LEFT(VLOOKUP($C30,Table13[],5,FALSE),FIND(" ",VLOOKUP($C30,Table13[],5,FALSE)))*VLOOKUP($C30,J6:M23,4,FALSE),LEFT(VLOOKUP($C30,Table13[],5,FALSE),FIND(" ",VLOOKUP($C30,Table13[],5,FALSE)))*VLOOKUP($C30,J6:M23,4,FALSE)/Dashboard!$I$4)</f>
        <v>40000</v>
      </c>
      <c r="G30" s="60">
        <f>IF($C$26="VND",LEFT(VLOOKUP($C30,Table13[],5,FALSE),FIND(" ",VLOOKUP($C30,Table13[],5,FALSE)))*VLOOKUP($C30,J6:N23,5,FALSE),ROUND(LEFT(VLOOKUP($C30,Table13[],5,FALSE),FIND(" ",VLOOKUP($C30,Table13[],5,FALSE)))*VLOOKUP($C30,J6:N23,5,FALSE)/Dashboard!$I$4,0))</f>
        <v>20000</v>
      </c>
      <c r="H30" s="6"/>
      <c r="O30" s="7"/>
    </row>
    <row r="31" spans="3:15" x14ac:dyDescent="0.25">
      <c r="C31" s="52" t="str">
        <f xml:space="preserve"> Unit!B8</f>
        <v>Bột mì</v>
      </c>
      <c r="D31" s="60">
        <f>IF($C$26="VND",LEFT(VLOOKUP($C31,Table13[],5,FALSE),FIND(" ",VLOOKUP($C31,Table13[],5,FALSE)))*VLOOKUP($C31,$J$5:$K$22,2,FALSE),(LEFT(VLOOKUP($C31,Table13[],5,FALSE),FIND(" ",VLOOKUP($C31,Table13[],5,FALSE)))*VLOOKUP($C31,$J$5:$K$22,2,FALSE))/Dashboard!$I$4)</f>
        <v>80000</v>
      </c>
      <c r="E31" s="60">
        <f>IF($C$26="VND",LEFT(VLOOKUP($C31,Table13[],5,FALSE),FIND(" ",VLOOKUP($C31,Table13[],5,FALSE)))*VLOOKUP($C31,$J$5:$L$22,3,FALSE),LEFT(VLOOKUP($C31,Table13[],5,FALSE),FIND(" ",VLOOKUP($C31,Table13[],5,FALSE)))*VLOOKUP($C31,$J$5:$L$22,3,FALSE)/Dashboard!$I$4)</f>
        <v>80000</v>
      </c>
      <c r="F31" s="60">
        <f>IF($C$26="VND",LEFT(VLOOKUP($C31,Table13[],5,FALSE),FIND(" ",VLOOKUP($C31,Table13[],5,FALSE)))*VLOOKUP($C31,J7:M24,4,FALSE),LEFT(VLOOKUP($C31,Table13[],5,FALSE),FIND(" ",VLOOKUP($C31,Table13[],5,FALSE)))*VLOOKUP($C31,J7:M24,4,FALSE)/Dashboard!$I$4)</f>
        <v>120000</v>
      </c>
      <c r="G31" s="60">
        <f>IF($C$26="VND",LEFT(VLOOKUP($C31,Table13[],5,FALSE),FIND(" ",VLOOKUP($C31,Table13[],5,FALSE)))*VLOOKUP($C31,J7:N24,5,FALSE),ROUND(LEFT(VLOOKUP($C31,Table13[],5,FALSE),FIND(" ",VLOOKUP($C31,Table13[],5,FALSE)))*VLOOKUP($C31,J7:N24,5,FALSE)/Dashboard!$I$4,0))</f>
        <v>120000</v>
      </c>
      <c r="H31" s="6"/>
      <c r="O31" s="7"/>
    </row>
    <row r="32" spans="3:15" x14ac:dyDescent="0.25">
      <c r="C32" s="52" t="str">
        <f xml:space="preserve"> Unit!B9</f>
        <v>Baking soda</v>
      </c>
      <c r="D32" s="60">
        <f>IF($C$26="VND",LEFT(VLOOKUP($C32,Table13[],5,FALSE),FIND(" ",VLOOKUP($C32,Table13[],5,FALSE)))*VLOOKUP($C32,$J$5:$K$22,2,FALSE),(LEFT(VLOOKUP($C32,Table13[],5,FALSE),FIND(" ",VLOOKUP($C32,Table13[],5,FALSE)))*VLOOKUP($C32,$J$5:$K$22,2,FALSE))/Dashboard!$I$4)</f>
        <v>20000</v>
      </c>
      <c r="E32" s="60">
        <f>IF($C$26="VND",LEFT(VLOOKUP($C32,Table13[],5,FALSE),FIND(" ",VLOOKUP($C32,Table13[],5,FALSE)))*VLOOKUP($C32,$J$5:$L$22,3,FALSE),LEFT(VLOOKUP($C32,Table13[],5,FALSE),FIND(" ",VLOOKUP($C32,Table13[],5,FALSE)))*VLOOKUP($C32,$J$5:$L$22,3,FALSE)/Dashboard!$I$4)</f>
        <v>20000</v>
      </c>
      <c r="F32" s="60">
        <f>IF($C$26="VND",LEFT(VLOOKUP($C32,Table13[],5,FALSE),FIND(" ",VLOOKUP($C32,Table13[],5,FALSE)))*VLOOKUP($C32,J8:M25,4,FALSE),LEFT(VLOOKUP($C32,Table13[],5,FALSE),FIND(" ",VLOOKUP($C32,Table13[],5,FALSE)))*VLOOKUP($C32,J8:M25,4,FALSE)/Dashboard!$I$4)</f>
        <v>20000</v>
      </c>
      <c r="G32" s="60">
        <f>IF($C$26="VND",LEFT(VLOOKUP($C32,Table13[],5,FALSE),FIND(" ",VLOOKUP($C32,Table13[],5,FALSE)))*VLOOKUP($C32,J8:N25,5,FALSE),ROUND(LEFT(VLOOKUP($C32,Table13[],5,FALSE),FIND(" ",VLOOKUP($C32,Table13[],5,FALSE)))*VLOOKUP($C32,J8:N25,5,FALSE)/Dashboard!$I$4,0))</f>
        <v>20000</v>
      </c>
      <c r="H32" s="6"/>
      <c r="O32" s="7"/>
    </row>
    <row r="33" spans="3:15" x14ac:dyDescent="0.25">
      <c r="C33" s="52" t="str">
        <f xml:space="preserve"> Unit!B10</f>
        <v>Bột nở</v>
      </c>
      <c r="D33" s="60">
        <f>IF($C$26="VND",LEFT(VLOOKUP($C33,Table13[],5,FALSE),FIND(" ",VLOOKUP($C33,Table13[],5,FALSE)))*VLOOKUP($C33,$J$5:$K$22,2,FALSE),(LEFT(VLOOKUP($C33,Table13[],5,FALSE),FIND(" ",VLOOKUP($C33,Table13[],5,FALSE)))*VLOOKUP($C33,$J$5:$K$22,2,FALSE))/Dashboard!$I$4)</f>
        <v>15000</v>
      </c>
      <c r="E33" s="60">
        <f>IF($C$26="VND",LEFT(VLOOKUP($C33,Table13[],5,FALSE),FIND(" ",VLOOKUP($C33,Table13[],5,FALSE)))*VLOOKUP($C33,$J$5:$L$22,3,FALSE),LEFT(VLOOKUP($C33,Table13[],5,FALSE),FIND(" ",VLOOKUP($C33,Table13[],5,FALSE)))*VLOOKUP($C33,$J$5:$L$22,3,FALSE)/Dashboard!$I$4)</f>
        <v>15000</v>
      </c>
      <c r="F33" s="60">
        <f>IF($C$26="VND",LEFT(VLOOKUP($C33,Table13[],5,FALSE),FIND(" ",VLOOKUP($C33,Table13[],5,FALSE)))*VLOOKUP($C33,J9:M26,4,FALSE),LEFT(VLOOKUP($C33,Table13[],5,FALSE),FIND(" ",VLOOKUP($C33,Table13[],5,FALSE)))*VLOOKUP($C33,J9:M26,4,FALSE)/Dashboard!$I$4)</f>
        <v>15000</v>
      </c>
      <c r="G33" s="60">
        <f>IF($C$26="VND",LEFT(VLOOKUP($C33,Table13[],5,FALSE),FIND(" ",VLOOKUP($C33,Table13[],5,FALSE)))*VLOOKUP($C33,J9:N26,5,FALSE),ROUND(LEFT(VLOOKUP($C33,Table13[],5,FALSE),FIND(" ",VLOOKUP($C33,Table13[],5,FALSE)))*VLOOKUP($C33,J9:N26,5,FALSE)/Dashboard!$I$4,0))</f>
        <v>15000</v>
      </c>
      <c r="H33" s="6"/>
      <c r="J33" s="68"/>
      <c r="K33" s="68"/>
      <c r="L33" s="68"/>
      <c r="M33" s="68"/>
      <c r="O33" s="7"/>
    </row>
    <row r="34" spans="3:15" x14ac:dyDescent="0.25">
      <c r="C34" s="52" t="str">
        <f xml:space="preserve"> Unit!B11</f>
        <v>Chocolate chips</v>
      </c>
      <c r="D34" s="60">
        <f>IF($C$26="VND",LEFT(VLOOKUP($C34,Table13[],5,FALSE),FIND(" ",VLOOKUP($C34,Table13[],5,FALSE)))*VLOOKUP($C34,$J$5:$K$22,2,FALSE),(LEFT(VLOOKUP($C34,Table13[],5,FALSE),FIND(" ",VLOOKUP($C34,Table13[],5,FALSE)))*VLOOKUP($C34,$J$5:$K$22,2,FALSE))/Dashboard!$I$4)</f>
        <v>100000</v>
      </c>
      <c r="E34" s="60">
        <f>IF($C$26="VND",LEFT(VLOOKUP($C34,Table13[],5,FALSE),FIND(" ",VLOOKUP($C34,Table13[],5,FALSE)))*VLOOKUP($C34,$J$5:$L$22,3,FALSE),LEFT(VLOOKUP($C34,Table13[],5,FALSE),FIND(" ",VLOOKUP($C34,Table13[],5,FALSE)))*VLOOKUP($C34,$J$5:$L$22,3,FALSE)/Dashboard!$I$4)</f>
        <v>60000</v>
      </c>
      <c r="F34" s="60">
        <f>IF($C$26="VND",LEFT(VLOOKUP($C34,Table13[],5,FALSE),FIND(" ",VLOOKUP($C34,Table13[],5,FALSE)))*VLOOKUP($C34,J10:M27,4,FALSE),LEFT(VLOOKUP($C34,Table13[],5,FALSE),FIND(" ",VLOOKUP($C34,Table13[],5,FALSE)))*VLOOKUP($C34,J10:M27,4,FALSE)/Dashboard!$I$4)</f>
        <v>140000</v>
      </c>
      <c r="G34" s="60">
        <f>IF($C$26="VND",LEFT(VLOOKUP($C34,Table13[],5,FALSE),FIND(" ",VLOOKUP($C34,Table13[],5,FALSE)))*VLOOKUP($C34,J10:N27,5,FALSE),ROUND(LEFT(VLOOKUP($C34,Table13[],5,FALSE),FIND(" ",VLOOKUP($C34,Table13[],5,FALSE)))*VLOOKUP($C34,J10:N27,5,FALSE)/Dashboard!$I$4,0))</f>
        <v>100000</v>
      </c>
      <c r="H34" s="6"/>
    </row>
    <row r="35" spans="3:15" x14ac:dyDescent="0.25">
      <c r="C35" s="52" t="str">
        <f xml:space="preserve"> Unit!B12</f>
        <v>Muối</v>
      </c>
      <c r="D35" s="60">
        <f>IF($C$26="VND",LEFT(VLOOKUP($C35,Table13[],5,FALSE),FIND(" ",VLOOKUP($C35,Table13[],5,FALSE)))*VLOOKUP($C35,$J$5:$K$22,2,FALSE),(LEFT(VLOOKUP($C35,Table13[],5,FALSE),FIND(" ",VLOOKUP($C35,Table13[],5,FALSE)))*VLOOKUP($C35,$J$5:$K$22,2,FALSE))/Dashboard!$I$4)</f>
        <v>10000</v>
      </c>
      <c r="E35" s="60">
        <f>IF($C$26="VND",LEFT(VLOOKUP($C35,Table13[],5,FALSE),FIND(" ",VLOOKUP($C35,Table13[],5,FALSE)))*VLOOKUP($C35,$J$5:$L$22,3,FALSE),LEFT(VLOOKUP($C35,Table13[],5,FALSE),FIND(" ",VLOOKUP($C35,Table13[],5,FALSE)))*VLOOKUP($C35,$J$5:$L$22,3,FALSE)/Dashboard!$I$4)</f>
        <v>10000</v>
      </c>
      <c r="F35" s="60">
        <f>IF($C$26="VND",LEFT(VLOOKUP($C35,Table13[],5,FALSE),FIND(" ",VLOOKUP($C35,Table13[],5,FALSE)))*VLOOKUP($C35,J11:M28,4,FALSE),LEFT(VLOOKUP($C35,Table13[],5,FALSE),FIND(" ",VLOOKUP($C35,Table13[],5,FALSE)))*VLOOKUP($C35,J11:M28,4,FALSE)/Dashboard!$I$4)</f>
        <v>10000</v>
      </c>
      <c r="G35" s="85">
        <f>IF($C$26="VND",LEFT(VLOOKUP($C35,Table13[],5,FALSE),FIND(" ",VLOOKUP($C35,Table13[],5,FALSE)))*VLOOKUP($C35,J11:N28,5,FALSE),ROUND(LEFT(VLOOKUP($C35,Table13[],5,FALSE),FIND(" ",VLOOKUP($C35,Table13[],5,FALSE)))*VLOOKUP($C35,J11:N28,5,FALSE)/Dashboard!$I$4,0))</f>
        <v>10000</v>
      </c>
      <c r="H35" s="6"/>
    </row>
    <row r="36" spans="3:15" ht="15.75" customHeight="1" x14ac:dyDescent="0.25">
      <c r="C36" s="52" t="str">
        <f xml:space="preserve"> Unit!B13</f>
        <v>Đường nâu</v>
      </c>
      <c r="D36" s="60">
        <f>IF($C$26="VND",LEFT(VLOOKUP($C36,Table13[],5,FALSE),FIND(" ",VLOOKUP($C36,Table13[],5,FALSE)))*VLOOKUP($C36,$J$5:$K$22,2,FALSE),(LEFT(VLOOKUP($C36,Table13[],5,FALSE),FIND(" ",VLOOKUP($C36,Table13[],5,FALSE)))*VLOOKUP($C36,$J$5:$K$22,2,FALSE))/Dashboard!$I$4)</f>
        <v>100000</v>
      </c>
      <c r="E36" s="60">
        <f>IF($C$26="VND",LEFT(VLOOKUP($C36,Table13[],5,FALSE),FIND(" ",VLOOKUP($C36,Table13[],5,FALSE)))*VLOOKUP($C36,$J$5:$L$22,3,FALSE),LEFT(VLOOKUP($C36,Table13[],5,FALSE),FIND(" ",VLOOKUP($C36,Table13[],5,FALSE)))*VLOOKUP($C36,$J$5:$L$22,3,FALSE)/Dashboard!$I$4)</f>
        <v>50000</v>
      </c>
      <c r="F36" s="60">
        <f>IF($C$26="VND",LEFT(VLOOKUP($C36,Table13[],5,FALSE),FIND(" ",VLOOKUP($C36,Table13[],5,FALSE)))*VLOOKUP($C36,J12:M29,4,FALSE),LEFT(VLOOKUP($C36,Table13[],5,FALSE),FIND(" ",VLOOKUP($C36,Table13[],5,FALSE)))*VLOOKUP($C36,J12:M29,4,FALSE)/Dashboard!$I$4)</f>
        <v>50000</v>
      </c>
      <c r="G36" s="60">
        <f>IF($C$26="VND",LEFT(VLOOKUP($C36,Table13[],5,FALSE),FIND(" ",VLOOKUP($C36,Table13[],5,FALSE)))*VLOOKUP($C36,J12:N29,5,FALSE),ROUND(LEFT(VLOOKUP($C36,Table13[],5,FALSE),FIND(" ",VLOOKUP($C36,Table13[],5,FALSE)))*VLOOKUP($C36,J12:N29,5,FALSE)/Dashboard!$I$4,0))</f>
        <v>50000</v>
      </c>
      <c r="H36" s="6"/>
    </row>
    <row r="37" spans="3:15" ht="14.25" customHeight="1" x14ac:dyDescent="0.25">
      <c r="C37" s="52" t="str">
        <f xml:space="preserve"> Unit!B14</f>
        <v>Đường mật</v>
      </c>
      <c r="D37" s="60">
        <f>IF($C$26="VND",LEFT(VLOOKUP($C37,Table13[],5,FALSE),FIND(" ",VLOOKUP($C37,Table13[],5,FALSE)))*VLOOKUP($C37,$J$5:$K$22,2,FALSE),(LEFT(VLOOKUP($C37,Table13[],5,FALSE),FIND(" ",VLOOKUP($C37,Table13[],5,FALSE)))*VLOOKUP($C37,$J$5:$K$22,2,FALSE))/Dashboard!$I$4)</f>
        <v>60000</v>
      </c>
      <c r="E37" s="60">
        <f>IF($C$26="VND",LEFT(VLOOKUP($C37,Table13[],5,FALSE),FIND(" ",VLOOKUP($C37,Table13[],5,FALSE)))*VLOOKUP($C37,$J$5:$L$22,3,FALSE),LEFT(VLOOKUP($C37,Table13[],5,FALSE),FIND(" ",VLOOKUP($C37,Table13[],5,FALSE)))*VLOOKUP($C37,$J$5:$L$22,3,FALSE)/Dashboard!$I$4)</f>
        <v>60000</v>
      </c>
      <c r="F37" s="60">
        <f>IF($C$26="VND",LEFT(VLOOKUP($C37,Table13[],5,FALSE),FIND(" ",VLOOKUP($C37,Table13[],5,FALSE)))*VLOOKUP($C37,J13:M30,4,FALSE),LEFT(VLOOKUP($C37,Table13[],5,FALSE),FIND(" ",VLOOKUP($C37,Table13[],5,FALSE)))*VLOOKUP($C37,J13:M30,4,FALSE)/Dashboard!$I$4)</f>
        <v>60000</v>
      </c>
      <c r="G37" s="60">
        <f>IF($C$26="VND",LEFT(VLOOKUP($C37,Table13[],5,FALSE),FIND(" ",VLOOKUP($C37,Table13[],5,FALSE)))*VLOOKUP($C37,J13:N30,5,FALSE),ROUND(LEFT(VLOOKUP($C37,Table13[],5,FALSE),FIND(" ",VLOOKUP($C37,Table13[],5,FALSE)))*VLOOKUP($C37,J13:N30,5,FALSE)/Dashboard!$I$4,0))</f>
        <v>60000</v>
      </c>
      <c r="H37" s="6"/>
    </row>
    <row r="38" spans="3:15" ht="12.75" customHeight="1" x14ac:dyDescent="0.25">
      <c r="C38" s="52" t="str">
        <f xml:space="preserve"> Unit!B15</f>
        <v>Bơ</v>
      </c>
      <c r="D38" s="60">
        <f>IF($C$26="VND",LEFT(VLOOKUP($C38,Table13[],5,FALSE),FIND(" ",VLOOKUP($C38,Table13[],5,FALSE)))*VLOOKUP($C38,$J$5:$K$22,2,FALSE),(LEFT(VLOOKUP($C38,Table13[],5,FALSE),FIND(" ",VLOOKUP($C38,Table13[],5,FALSE)))*VLOOKUP($C38,$J$5:$K$22,2,FALSE))/Dashboard!$I$4)</f>
        <v>60000</v>
      </c>
      <c r="E38" s="60">
        <f>IF($C$26="VND",LEFT(VLOOKUP($C38,Table13[],5,FALSE),FIND(" ",VLOOKUP($C38,Table13[],5,FALSE)))*VLOOKUP($C38,$J$5:$L$22,3,FALSE),LEFT(VLOOKUP($C38,Table13[],5,FALSE),FIND(" ",VLOOKUP($C38,Table13[],5,FALSE)))*VLOOKUP($C38,$J$5:$L$22,3,FALSE)/Dashboard!$I$4)</f>
        <v>60000</v>
      </c>
      <c r="F38" s="60">
        <f>IF($C$26="VND",LEFT(VLOOKUP($C38,Table13[],5,FALSE),FIND(" ",VLOOKUP($C38,Table13[],5,FALSE)))*VLOOKUP($C38,J14:M31,4,FALSE),LEFT(VLOOKUP($C38,Table13[],5,FALSE),FIND(" ",VLOOKUP($C38,Table13[],5,FALSE)))*VLOOKUP($C38,J14:M31,4,FALSE)/Dashboard!$I$4)</f>
        <v>60000</v>
      </c>
      <c r="G38" s="60">
        <f>IF($C$26="VND",LEFT(VLOOKUP($C38,Table13[],5,FALSE),FIND(" ",VLOOKUP($C38,Table13[],5,FALSE)))*VLOOKUP($C38,J14:N31,5,FALSE),ROUND(LEFT(VLOOKUP($C38,Table13[],5,FALSE),FIND(" ",VLOOKUP($C38,Table13[],5,FALSE)))*VLOOKUP($C38,J14:N31,5,FALSE)/Dashboard!$I$4,0))</f>
        <v>40000</v>
      </c>
      <c r="H38" s="6"/>
    </row>
    <row r="39" spans="3:15" ht="14.25" customHeight="1" x14ac:dyDescent="0.25">
      <c r="C39" s="52" t="str">
        <f xml:space="preserve"> Unit!B16</f>
        <v>Vani</v>
      </c>
      <c r="D39" s="60">
        <f>IF($C$26="VND",LEFT(VLOOKUP($C39,Table13[],5,FALSE),FIND(" ",VLOOKUP($C39,Table13[],5,FALSE)))*VLOOKUP($C39,$J$5:$K$22,2,FALSE),(LEFT(VLOOKUP($C39,Table13[],5,FALSE),FIND(" ",VLOOKUP($C39,Table13[],5,FALSE)))*VLOOKUP($C39,$J$5:$K$22,2,FALSE))/Dashboard!$I$4)</f>
        <v>100000</v>
      </c>
      <c r="E39" s="60">
        <f>IF($C$26="VND",LEFT(VLOOKUP($C39,Table13[],5,FALSE),FIND(" ",VLOOKUP($C39,Table13[],5,FALSE)))*VLOOKUP($C39,$J$5:$L$22,3,FALSE),LEFT(VLOOKUP($C39,Table13[],5,FALSE),FIND(" ",VLOOKUP($C39,Table13[],5,FALSE)))*VLOOKUP($C39,$J$5:$L$22,3,FALSE)/Dashboard!$I$4)</f>
        <v>100000</v>
      </c>
      <c r="F39" s="60">
        <f>IF($C$26="VND",LEFT(VLOOKUP($C39,Table13[],5,FALSE),FIND(" ",VLOOKUP($C39,Table13[],5,FALSE)))*VLOOKUP($C39,J15:M32,4,FALSE),LEFT(VLOOKUP($C39,Table13[],5,FALSE),FIND(" ",VLOOKUP($C39,Table13[],5,FALSE)))*VLOOKUP($C39,J15:M32,4,FALSE)/Dashboard!$I$4)</f>
        <v>100000</v>
      </c>
      <c r="G39" s="60">
        <f>IF($C$26="VND",LEFT(VLOOKUP($C39,Table13[],5,FALSE),FIND(" ",VLOOKUP($C39,Table13[],5,FALSE)))*VLOOKUP($C39,J15:N32,5,FALSE),ROUND(LEFT(VLOOKUP($C39,Table13[],5,FALSE),FIND(" ",VLOOKUP($C39,Table13[],5,FALSE)))*VLOOKUP($C39,J15:N32,5,FALSE)/Dashboard!$I$4,0))</f>
        <v>100000</v>
      </c>
      <c r="H39" s="6"/>
    </row>
    <row r="40" spans="3:15" x14ac:dyDescent="0.25">
      <c r="C40" s="52" t="str">
        <f xml:space="preserve"> Unit!B17</f>
        <v>Quế</v>
      </c>
      <c r="D40" s="60">
        <f>IF($C$26="VND",LEFT(VLOOKUP($C40,Table13[],5,FALSE),FIND(" ",VLOOKUP($C40,Table13[],5,FALSE)))*VLOOKUP($C40,$J$5:$K$22,2,FALSE),(LEFT(VLOOKUP($C40,Table13[],5,FALSE),FIND(" ",VLOOKUP($C40,Table13[],5,FALSE)))*VLOOKUP($C40,$J$5:$K$22,2,FALSE))/Dashboard!$I$4)</f>
        <v>160000</v>
      </c>
      <c r="E40" s="60">
        <f>IF($C$26="VND",LEFT(VLOOKUP($C40,Table13[],5,FALSE),FIND(" ",VLOOKUP($C40,Table13[],5,FALSE)))*VLOOKUP($C40,$J$5:$L$22,3,FALSE),LEFT(VLOOKUP($C40,Table13[],5,FALSE),FIND(" ",VLOOKUP($C40,Table13[],5,FALSE)))*VLOOKUP($C40,$J$5:$L$22,3,FALSE)/Dashboard!$I$4)</f>
        <v>160000</v>
      </c>
      <c r="F40" s="60">
        <f>IF($C$26="VND",LEFT(VLOOKUP($C40,Table13[],5,FALSE),FIND(" ",VLOOKUP($C40,Table13[],5,FALSE)))*VLOOKUP($C40,J16:M33,4,FALSE),LEFT(VLOOKUP($C40,Table13[],5,FALSE),FIND(" ",VLOOKUP($C40,Table13[],5,FALSE)))*VLOOKUP($C40,J16:M33,4,FALSE)/Dashboard!$I$4)</f>
        <v>160000</v>
      </c>
      <c r="G40" s="60">
        <f>IF($C$26="VND",LEFT(VLOOKUP($C40,Table13[],5,FALSE),FIND(" ",VLOOKUP($C40,Table13[],5,FALSE)))*VLOOKUP($C40,J16:N33,5,FALSE),ROUND(LEFT(VLOOKUP($C40,Table13[],5,FALSE),FIND(" ",VLOOKUP($C40,Table13[],5,FALSE)))*VLOOKUP($C40,J16:N33,5,FALSE)/Dashboard!$I$4,0))</f>
        <v>160000</v>
      </c>
      <c r="H40" s="6"/>
    </row>
    <row r="41" spans="3:15" x14ac:dyDescent="0.25">
      <c r="C41" s="52" t="str">
        <f xml:space="preserve"> Unit!B18</f>
        <v xml:space="preserve">Kem </v>
      </c>
      <c r="D41" s="60">
        <f>IF($C$26="VND",LEFT(VLOOKUP($C41,Table13[],5,FALSE),FIND(" ",VLOOKUP($C41,Table13[],5,FALSE)))*VLOOKUP($C41,$J$5:$K$22,2,FALSE),(LEFT(VLOOKUP($C41,Table13[],5,FALSE),FIND(" ",VLOOKUP($C41,Table13[],5,FALSE)))*VLOOKUP($C41,$J$5:$K$22,2,FALSE))/Dashboard!$I$4)</f>
        <v>210000</v>
      </c>
      <c r="E41" s="60">
        <f>IF($C$26="VND",LEFT(VLOOKUP($C41,Table13[],5,FALSE),FIND(" ",VLOOKUP($C41,Table13[],5,FALSE)))*VLOOKUP($C41,$J$5:$L$22,3,FALSE),LEFT(VLOOKUP($C41,Table13[],5,FALSE),FIND(" ",VLOOKUP($C41,Table13[],5,FALSE)))*VLOOKUP($C41,$J$5:$L$22,3,FALSE)/Dashboard!$I$4)</f>
        <v>210000</v>
      </c>
      <c r="F41" s="60">
        <f>IF($C$26="VND",LEFT(VLOOKUP($C41,Table13[],5,FALSE),FIND(" ",VLOOKUP($C41,Table13[],5,FALSE)))*VLOOKUP($C41,J17:M34,4,FALSE),LEFT(VLOOKUP($C41,Table13[],5,FALSE),FIND(" ",VLOOKUP($C41,Table13[],5,FALSE)))*VLOOKUP($C41,J17:M34,4,FALSE)/Dashboard!$I$4)</f>
        <v>490000</v>
      </c>
      <c r="G41" s="60">
        <f>IF($C$26="VND",LEFT(VLOOKUP($C41,Table13[],5,FALSE),FIND(" ",VLOOKUP($C41,Table13[],5,FALSE)))*VLOOKUP($C41,J17:N34,5,FALSE),ROUND(LEFT(VLOOKUP($C41,Table13[],5,FALSE),FIND(" ",VLOOKUP($C41,Table13[],5,FALSE)))*VLOOKUP($C41,J17:N34,5,FALSE)/Dashboard!$I$4,0))</f>
        <v>490000</v>
      </c>
      <c r="H41" s="6"/>
    </row>
    <row r="42" spans="3:15" x14ac:dyDescent="0.25">
      <c r="C42" s="52" t="str">
        <f xml:space="preserve"> Unit!B19</f>
        <v>Đường bột</v>
      </c>
      <c r="D42" s="60">
        <f>IF($C$26="VND",LEFT(VLOOKUP($C42,Table13[],5,FALSE),FIND(" ",VLOOKUP($C42,Table13[],5,FALSE)))*VLOOKUP($C42,$J$5:$K$22,2,FALSE),(LEFT(VLOOKUP($C42,Table13[],5,FALSE),FIND(" ",VLOOKUP($C42,Table13[],5,FALSE)))*VLOOKUP($C42,$J$5:$K$22,2,FALSE))/Dashboard!$I$4)</f>
        <v>50000</v>
      </c>
      <c r="E42" s="60">
        <f>IF($C$26="VND",LEFT(VLOOKUP($C42,Table13[],5,FALSE),FIND(" ",VLOOKUP($C42,Table13[],5,FALSE)))*VLOOKUP($C42,$J$5:$L$22,3,FALSE),LEFT(VLOOKUP($C42,Table13[],5,FALSE),FIND(" ",VLOOKUP($C42,Table13[],5,FALSE)))*VLOOKUP($C42,$J$5:$L$22,3,FALSE)/Dashboard!$I$4)</f>
        <v>50000</v>
      </c>
      <c r="F42" s="60">
        <f>IF($C$26="VND",LEFT(VLOOKUP($C42,Table13[],5,FALSE),FIND(" ",VLOOKUP($C42,Table13[],5,FALSE)))*VLOOKUP($C42,J18:M35,4,FALSE),LEFT(VLOOKUP($C42,Table13[],5,FALSE),FIND(" ",VLOOKUP($C42,Table13[],5,FALSE)))*VLOOKUP($C42,J18:M35,4,FALSE)/Dashboard!$I$4)</f>
        <v>50000</v>
      </c>
      <c r="G42" s="60">
        <f>IF($C$26="VND",LEFT(VLOOKUP($C42,Table13[],5,FALSE),FIND(" ",VLOOKUP($C42,Table13[],5,FALSE)))*VLOOKUP($C42,J18:N35,5,FALSE),ROUND(LEFT(VLOOKUP($C42,Table13[],5,FALSE),FIND(" ",VLOOKUP($C42,Table13[],5,FALSE)))*VLOOKUP($C42,J18:N35,5,FALSE)/Dashboard!$I$4,0))</f>
        <v>50000</v>
      </c>
      <c r="H42" s="6"/>
    </row>
    <row r="43" spans="3:15" x14ac:dyDescent="0.25">
      <c r="C43" s="52" t="str">
        <f xml:space="preserve"> Unit!B20</f>
        <v>Nước chanh</v>
      </c>
      <c r="D43" s="60">
        <f>IF($C$26="VND",LEFT(VLOOKUP($C43,Table13[],5,FALSE),FIND(" ",VLOOKUP($C43,Table13[],5,FALSE)))*VLOOKUP($C43,$J$5:$K$22,2,FALSE),(LEFT(VLOOKUP($C43,Table13[],5,FALSE),FIND(" ",VLOOKUP($C43,Table13[],5,FALSE)))*VLOOKUP($C43,$J$5:$K$22,2,FALSE))/Dashboard!$I$4)</f>
        <v>40000</v>
      </c>
      <c r="E43" s="60">
        <f>IF($C$26="VND",LEFT(VLOOKUP($C43,Table13[],5,FALSE),FIND(" ",VLOOKUP($C43,Table13[],5,FALSE)))*VLOOKUP($C43,$J$5:$L$22,3,FALSE),LEFT(VLOOKUP($C43,Table13[],5,FALSE),FIND(" ",VLOOKUP($C43,Table13[],5,FALSE)))*VLOOKUP($C43,$J$5:$L$22,3,FALSE)/Dashboard!$I$4)</f>
        <v>40000</v>
      </c>
      <c r="F43" s="60">
        <f>IF($C$26="VND",LEFT(VLOOKUP($C43,Table13[],5,FALSE),FIND(" ",VLOOKUP($C43,Table13[],5,FALSE)))*VLOOKUP($C43,J19:M36,4,FALSE),LEFT(VLOOKUP($C43,Table13[],5,FALSE),FIND(" ",VLOOKUP($C43,Table13[],5,FALSE)))*VLOOKUP($C43,J19:M36,4,FALSE)/Dashboard!$I$4)</f>
        <v>40000</v>
      </c>
      <c r="G43" s="60">
        <f>IF($C$26="VND",LEFT(VLOOKUP($C43,Table13[],5,FALSE),FIND(" ",VLOOKUP($C43,Table13[],5,FALSE)))*VLOOKUP($C43,J19:N36,5,FALSE),ROUND(LEFT(VLOOKUP($C43,Table13[],5,FALSE),FIND(" ",VLOOKUP($C43,Table13[],5,FALSE)))*VLOOKUP($C43,J19:N36,5,FALSE)/Dashboard!$I$4,0))</f>
        <v>40000</v>
      </c>
      <c r="H43" s="6"/>
    </row>
    <row r="44" spans="3:15" x14ac:dyDescent="0.25">
      <c r="C44" s="52" t="str">
        <f xml:space="preserve"> Unit!B21</f>
        <v>Bột vỏ chanh</v>
      </c>
      <c r="D44" s="60">
        <f>IF($C$26="VND",LEFT(VLOOKUP($C44,Table13[],5,FALSE),FIND(" ",VLOOKUP($C44,Table13[],5,FALSE)))*VLOOKUP($C44,$J$5:$K$22,2,FALSE),(LEFT(VLOOKUP($C44,Table13[],5,FALSE),FIND(" ",VLOOKUP($C44,Table13[],5,FALSE)))*VLOOKUP($C44,$J$5:$K$22,2,FALSE))/Dashboard!$I$4)</f>
        <v>120000</v>
      </c>
      <c r="E44" s="60">
        <f>IF($C$26="VND",LEFT(VLOOKUP($C44,Table13[],5,FALSE),FIND(" ",VLOOKUP($C44,Table13[],5,FALSE)))*VLOOKUP($C44,$J$5:$L$22,3,FALSE),LEFT(VLOOKUP($C44,Table13[],5,FALSE),FIND(" ",VLOOKUP($C44,Table13[],5,FALSE)))*VLOOKUP($C44,$J$5:$L$22,3,FALSE)/Dashboard!$I$4)</f>
        <v>120000</v>
      </c>
      <c r="F44" s="60">
        <f>IF($C$26="VND",LEFT(VLOOKUP($C44,Table13[],5,FALSE),FIND(" ",VLOOKUP($C44,Table13[],5,FALSE)))*VLOOKUP($C44,J20:M37,4,FALSE),LEFT(VLOOKUP($C44,Table13[],5,FALSE),FIND(" ",VLOOKUP($C44,Table13[],5,FALSE)))*VLOOKUP($C44,J20:M37,4,FALSE)/Dashboard!$I$4)</f>
        <v>120000</v>
      </c>
      <c r="G44" s="60">
        <f>IF($C$26="VND",LEFT(VLOOKUP($C44,Table13[],5,FALSE),FIND(" ",VLOOKUP($C44,Table13[],5,FALSE)))*VLOOKUP($C44,J20:N37,5,FALSE),ROUND(LEFT(VLOOKUP($C44,Table13[],5,FALSE),FIND(" ",VLOOKUP($C44,Table13[],5,FALSE)))*VLOOKUP($C44,J20:N37,5,FALSE)/Dashboard!$I$4,0))</f>
        <v>120000</v>
      </c>
      <c r="H44" s="6"/>
    </row>
    <row r="45" spans="3:15" x14ac:dyDescent="0.25">
      <c r="C45" s="52" t="str">
        <f xml:space="preserve"> Unit!B22</f>
        <v>Gừng bột</v>
      </c>
      <c r="D45" s="60">
        <f>IF($C$26="VND",LEFT(VLOOKUP($C45,Table13[],5,FALSE),FIND(" ",VLOOKUP($C45,Table13[],5,FALSE)))*VLOOKUP($C45,$J$5:$K$22,2,FALSE),(LEFT(VLOOKUP($C45,Table13[],5,FALSE),FIND(" ",VLOOKUP($C45,Table13[],5,FALSE)))*VLOOKUP($C45,$J$5:$K$22,2,FALSE))/Dashboard!$I$4)</f>
        <v>30000</v>
      </c>
      <c r="E45" s="60">
        <f>IF($C$26="VND",LEFT(VLOOKUP($C45,Table13[],5,FALSE),FIND(" ",VLOOKUP($C45,Table13[],5,FALSE)))*VLOOKUP($C45,$J$5:$L$22,3,FALSE),LEFT(VLOOKUP($C45,Table13[],5,FALSE),FIND(" ",VLOOKUP($C45,Table13[],5,FALSE)))*VLOOKUP($C45,$J$5:$L$22,3,FALSE)/Dashboard!$I$4)</f>
        <v>30000</v>
      </c>
      <c r="F45" s="60">
        <f>IF($C$26="VND",LEFT(VLOOKUP($C45,Table13[],5,FALSE),FIND(" ",VLOOKUP($C45,Table13[],5,FALSE)))*VLOOKUP($C45,J21:M38,4,FALSE),LEFT(VLOOKUP($C45,Table13[],5,FALSE),FIND(" ",VLOOKUP($C45,Table13[],5,FALSE)))*VLOOKUP($C45,J21:M38,4,FALSE)/Dashboard!$I$4)</f>
        <v>30000</v>
      </c>
      <c r="G45" s="60">
        <f>IF($C$26="VND",LEFT(VLOOKUP($C45,Table13[],5,FALSE),FIND(" ",VLOOKUP($C45,Table13[],5,FALSE)))*VLOOKUP($C45,J21:N38,5,FALSE),ROUND(LEFT(VLOOKUP($C45,Table13[],5,FALSE),FIND(" ",VLOOKUP($C45,Table13[],5,FALSE)))*VLOOKUP($C45,J21:N38,5,FALSE)/Dashboard!$I$4,0))</f>
        <v>30000</v>
      </c>
      <c r="H45" s="6"/>
    </row>
    <row r="46" spans="3:15" ht="15.75" thickBot="1" x14ac:dyDescent="0.3">
      <c r="C46" s="55" t="str">
        <f xml:space="preserve"> Unit!B23</f>
        <v>Men</v>
      </c>
      <c r="D46" s="60">
        <f>IF($C$26="VND",LEFT(VLOOKUP($C46,Table13[],5,FALSE),FIND(" ",VLOOKUP($C46,Table13[],5,FALSE)))*VLOOKUP($C46,$J$5:$K$22,2,FALSE),(LEFT(VLOOKUP($C46,Table13[],5,FALSE),FIND(" ",VLOOKUP($C46,Table13[],5,FALSE)))*VLOOKUP($C46,$J$5:$K$22,2,FALSE))/Dashboard!$I$4)</f>
        <v>50000</v>
      </c>
      <c r="E46" s="60">
        <f>IF($C$26="VND",LEFT(VLOOKUP($C46,Table13[],5,FALSE),FIND(" ",VLOOKUP($C46,Table13[],5,FALSE)))*VLOOKUP($C46,$J$5:$L$22,3,FALSE),LEFT(VLOOKUP($C46,Table13[],5,FALSE),FIND(" ",VLOOKUP($C46,Table13[],5,FALSE)))*VLOOKUP($C46,$J$5:$L$22,3,FALSE)/Dashboard!$I$4)</f>
        <v>50000</v>
      </c>
      <c r="F46" s="60">
        <f>IF($C$26="VND",LEFT(VLOOKUP($C46,Table13[],5,FALSE),FIND(" ",VLOOKUP($C46,Table13[],5,FALSE)))*VLOOKUP($C46,J22:M39,4,FALSE),LEFT(VLOOKUP($C46,Table13[],5,FALSE),FIND(" ",VLOOKUP($C46,Table13[],5,FALSE)))*VLOOKUP($C46,J22:M39,4,FALSE)/Dashboard!$I$4)</f>
        <v>100000</v>
      </c>
      <c r="G46" s="60">
        <f>IF($C$26="VND",LEFT(VLOOKUP($C46,Table13[],5,FALSE),FIND(" ",VLOOKUP($C46,Table13[],5,FALSE)))*VLOOKUP($C46,J22:N39,5,FALSE),ROUND(LEFT(VLOOKUP($C46,Table13[],5,FALSE),FIND(" ",VLOOKUP($C46,Table13[],5,FALSE)))*VLOOKUP($C46,J22:N39,5,FALSE)/Dashboard!$I$4,0))</f>
        <v>100000</v>
      </c>
      <c r="H46" s="6"/>
    </row>
    <row r="51" spans="9:19" x14ac:dyDescent="0.25"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</row>
    <row r="52" spans="9:19" x14ac:dyDescent="0.25"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</row>
    <row r="53" spans="9:19" x14ac:dyDescent="0.25"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</row>
    <row r="54" spans="9:19" x14ac:dyDescent="0.25">
      <c r="I54" s="7"/>
      <c r="J54" s="72"/>
      <c r="K54" s="72"/>
      <c r="L54" s="72"/>
      <c r="M54" s="72"/>
      <c r="N54" s="72"/>
      <c r="O54" s="72"/>
      <c r="P54" s="72"/>
      <c r="Q54" s="7"/>
      <c r="R54" s="7"/>
      <c r="S54" s="7"/>
    </row>
    <row r="55" spans="9:19" x14ac:dyDescent="0.25">
      <c r="I55" s="7"/>
      <c r="J55" s="72"/>
      <c r="K55" s="73"/>
      <c r="L55" s="73"/>
      <c r="M55" s="72"/>
      <c r="N55" s="72"/>
      <c r="O55" s="72"/>
      <c r="P55" s="67"/>
      <c r="Q55" s="7"/>
      <c r="R55" s="7"/>
      <c r="S55" s="7"/>
    </row>
    <row r="56" spans="9:19" x14ac:dyDescent="0.25">
      <c r="I56" s="7"/>
      <c r="J56" s="72"/>
      <c r="K56" s="73"/>
      <c r="L56" s="73"/>
      <c r="M56" s="72"/>
      <c r="N56" s="72"/>
      <c r="O56" s="72"/>
      <c r="P56" s="67"/>
      <c r="Q56" s="7"/>
      <c r="R56" s="7"/>
      <c r="S56" s="7"/>
    </row>
    <row r="57" spans="9:19" x14ac:dyDescent="0.25">
      <c r="I57" s="7"/>
      <c r="J57" s="7"/>
      <c r="K57" s="69"/>
      <c r="L57" s="69"/>
      <c r="M57" s="7"/>
      <c r="N57" s="70"/>
      <c r="O57" s="7"/>
      <c r="P57" s="71"/>
      <c r="Q57" s="7"/>
      <c r="R57" s="7"/>
      <c r="S57" s="7"/>
    </row>
    <row r="58" spans="9:19" x14ac:dyDescent="0.25">
      <c r="I58" s="7"/>
      <c r="J58" s="7"/>
      <c r="K58" s="69"/>
      <c r="L58" s="69"/>
      <c r="M58" s="7"/>
      <c r="N58" s="70"/>
      <c r="O58" s="7"/>
      <c r="P58" s="71"/>
      <c r="Q58" s="7"/>
      <c r="R58" s="7"/>
      <c r="S58" s="7"/>
    </row>
    <row r="59" spans="9:19" x14ac:dyDescent="0.25">
      <c r="I59" s="7"/>
      <c r="J59" s="7"/>
      <c r="K59" s="69"/>
      <c r="L59" s="69"/>
      <c r="M59" s="7"/>
      <c r="N59" s="70"/>
      <c r="O59" s="7"/>
      <c r="P59" s="71"/>
      <c r="Q59" s="7"/>
      <c r="R59" s="7"/>
      <c r="S59" s="7"/>
    </row>
    <row r="60" spans="9:19" x14ac:dyDescent="0.25">
      <c r="I60" s="7"/>
      <c r="J60" s="7"/>
      <c r="K60" s="69"/>
      <c r="L60" s="69"/>
      <c r="M60" s="7"/>
      <c r="N60" s="70"/>
      <c r="O60" s="7"/>
      <c r="P60" s="71"/>
      <c r="Q60" s="7"/>
      <c r="R60" s="7"/>
      <c r="S60" s="7"/>
    </row>
    <row r="61" spans="9:19" x14ac:dyDescent="0.25">
      <c r="I61" s="7"/>
      <c r="J61" s="7"/>
      <c r="K61" s="69"/>
      <c r="L61" s="69"/>
      <c r="M61" s="7"/>
      <c r="N61" s="70"/>
      <c r="O61" s="7"/>
      <c r="P61" s="71"/>
      <c r="Q61" s="7"/>
      <c r="R61" s="7"/>
      <c r="S61" s="7"/>
    </row>
    <row r="62" spans="9:19" x14ac:dyDescent="0.25">
      <c r="I62" s="7"/>
      <c r="J62" s="7"/>
      <c r="K62" s="69"/>
      <c r="L62" s="69"/>
      <c r="M62" s="7"/>
      <c r="N62" s="70"/>
      <c r="O62" s="7"/>
      <c r="P62" s="71"/>
      <c r="Q62" s="7"/>
      <c r="R62" s="7"/>
      <c r="S62" s="7"/>
    </row>
    <row r="63" spans="9:19" x14ac:dyDescent="0.25">
      <c r="I63" s="7"/>
      <c r="J63" s="7"/>
      <c r="K63" s="69"/>
      <c r="L63" s="69"/>
      <c r="M63" s="7"/>
      <c r="N63" s="70"/>
      <c r="O63" s="7"/>
      <c r="P63" s="71"/>
      <c r="Q63" s="7"/>
      <c r="R63" s="7"/>
      <c r="S63" s="7"/>
    </row>
    <row r="64" spans="9:19" x14ac:dyDescent="0.25">
      <c r="I64" s="7"/>
      <c r="J64" s="7"/>
      <c r="K64" s="69"/>
      <c r="L64" s="69"/>
      <c r="M64" s="7"/>
      <c r="N64" s="70"/>
      <c r="O64" s="7"/>
      <c r="P64" s="71"/>
      <c r="Q64" s="7"/>
      <c r="R64" s="7"/>
      <c r="S64" s="7"/>
    </row>
    <row r="65" spans="9:19" x14ac:dyDescent="0.25">
      <c r="I65" s="7"/>
      <c r="J65" s="7"/>
      <c r="K65" s="69"/>
      <c r="L65" s="69"/>
      <c r="M65" s="7"/>
      <c r="N65" s="70"/>
      <c r="O65" s="7"/>
      <c r="P65" s="71"/>
      <c r="Q65" s="7"/>
      <c r="R65" s="7"/>
      <c r="S65" s="7"/>
    </row>
    <row r="66" spans="9:19" x14ac:dyDescent="0.25">
      <c r="I66" s="7"/>
      <c r="J66" s="7"/>
      <c r="K66" s="69"/>
      <c r="L66" s="69"/>
      <c r="M66" s="7"/>
      <c r="N66" s="70"/>
      <c r="O66" s="7"/>
      <c r="P66" s="71"/>
      <c r="Q66" s="7"/>
      <c r="R66" s="7"/>
      <c r="S66" s="7"/>
    </row>
    <row r="67" spans="9:19" x14ac:dyDescent="0.25">
      <c r="I67" s="7"/>
      <c r="J67" s="7"/>
      <c r="K67" s="69"/>
      <c r="L67" s="69"/>
      <c r="M67" s="7"/>
      <c r="N67" s="70"/>
      <c r="O67" s="7"/>
      <c r="P67" s="71"/>
      <c r="Q67" s="7"/>
      <c r="R67" s="7"/>
      <c r="S67" s="7"/>
    </row>
    <row r="68" spans="9:19" x14ac:dyDescent="0.25">
      <c r="I68" s="7"/>
      <c r="J68" s="7"/>
      <c r="K68" s="69"/>
      <c r="L68" s="69"/>
      <c r="M68" s="7"/>
      <c r="N68" s="70"/>
      <c r="O68" s="7"/>
      <c r="P68" s="71"/>
      <c r="Q68" s="7"/>
      <c r="R68" s="7"/>
      <c r="S68" s="7"/>
    </row>
    <row r="69" spans="9:19" x14ac:dyDescent="0.25">
      <c r="I69" s="7"/>
      <c r="J69" s="7"/>
      <c r="K69" s="69"/>
      <c r="L69" s="69"/>
      <c r="M69" s="7"/>
      <c r="N69" s="70"/>
      <c r="O69" s="7"/>
      <c r="P69" s="71"/>
      <c r="Q69" s="7"/>
      <c r="R69" s="7"/>
      <c r="S69" s="7"/>
    </row>
    <row r="70" spans="9:19" x14ac:dyDescent="0.25">
      <c r="I70" s="7"/>
      <c r="J70" s="7"/>
      <c r="K70" s="69"/>
      <c r="L70" s="69"/>
      <c r="M70" s="7"/>
      <c r="N70" s="70"/>
      <c r="O70" s="7"/>
      <c r="P70" s="71"/>
      <c r="Q70" s="7"/>
      <c r="R70" s="7"/>
      <c r="S70" s="7"/>
    </row>
    <row r="71" spans="9:19" x14ac:dyDescent="0.25">
      <c r="I71" s="7"/>
      <c r="J71" s="7"/>
      <c r="K71" s="69"/>
      <c r="L71" s="69"/>
      <c r="M71" s="7"/>
      <c r="N71" s="70"/>
      <c r="O71" s="7"/>
      <c r="P71" s="71"/>
      <c r="Q71" s="7"/>
      <c r="R71" s="7"/>
      <c r="S71" s="7"/>
    </row>
    <row r="72" spans="9:19" x14ac:dyDescent="0.25">
      <c r="I72" s="7"/>
      <c r="J72" s="7"/>
      <c r="K72" s="69"/>
      <c r="L72" s="69"/>
      <c r="M72" s="7"/>
      <c r="N72" s="70"/>
      <c r="O72" s="7"/>
      <c r="P72" s="71"/>
      <c r="Q72" s="7"/>
      <c r="R72" s="7"/>
      <c r="S72" s="7"/>
    </row>
    <row r="73" spans="9:19" x14ac:dyDescent="0.25">
      <c r="I73" s="7"/>
      <c r="J73" s="7"/>
      <c r="K73" s="69"/>
      <c r="L73" s="69"/>
      <c r="M73" s="7"/>
      <c r="N73" s="70"/>
      <c r="O73" s="7"/>
      <c r="P73" s="71"/>
      <c r="Q73" s="7"/>
      <c r="R73" s="7"/>
      <c r="S73" s="7"/>
    </row>
    <row r="74" spans="9:19" x14ac:dyDescent="0.25">
      <c r="I74" s="7"/>
      <c r="J74" s="7"/>
      <c r="K74" s="69"/>
      <c r="L74" s="69"/>
      <c r="M74" s="7"/>
      <c r="N74" s="70"/>
      <c r="O74" s="7"/>
      <c r="P74" s="71"/>
      <c r="Q74" s="7"/>
      <c r="R74" s="7"/>
      <c r="S74" s="7"/>
    </row>
    <row r="75" spans="9:19" x14ac:dyDescent="0.25"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</row>
    <row r="76" spans="9:19" x14ac:dyDescent="0.25"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</row>
    <row r="77" spans="9:19" x14ac:dyDescent="0.25"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</row>
    <row r="78" spans="9:19" x14ac:dyDescent="0.25"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</row>
    <row r="79" spans="9:19" x14ac:dyDescent="0.25"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</row>
  </sheetData>
  <mergeCells count="9">
    <mergeCell ref="J3:O3"/>
    <mergeCell ref="C27:C28"/>
    <mergeCell ref="D27:D28"/>
    <mergeCell ref="E27:E28"/>
    <mergeCell ref="F27:F28"/>
    <mergeCell ref="G27:G28"/>
    <mergeCell ref="C25:G25"/>
    <mergeCell ref="C26:G26"/>
    <mergeCell ref="C3:H3"/>
  </mergeCells>
  <conditionalFormatting sqref="D29:G46">
    <cfRule type="expression" dxfId="3" priority="2">
      <formula>$C$26="VND"</formula>
    </cfRule>
    <cfRule type="expression" dxfId="2" priority="1">
      <formula>$C$26="USD"</formula>
    </cfRule>
  </conditionalFormatting>
  <dataValidations count="1">
    <dataValidation type="list" allowBlank="1" showInputMessage="1" showErrorMessage="1" sqref="P56 C26:G26">
      <formula1>"VND, USD"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U50"/>
  <sheetViews>
    <sheetView tabSelected="1" topLeftCell="E7" zoomScale="85" zoomScaleNormal="85" workbookViewId="0">
      <selection activeCell="N16" sqref="N16"/>
    </sheetView>
  </sheetViews>
  <sheetFormatPr defaultRowHeight="15" x14ac:dyDescent="0.25"/>
  <cols>
    <col min="1" max="1" width="9.140625" customWidth="1"/>
    <col min="2" max="2" width="37.140625" customWidth="1"/>
    <col min="3" max="3" width="23.85546875" customWidth="1"/>
    <col min="4" max="4" width="24.140625" customWidth="1"/>
    <col min="5" max="5" width="29.7109375" customWidth="1"/>
    <col min="6" max="6" width="27" customWidth="1"/>
    <col min="7" max="7" width="22.7109375" customWidth="1"/>
    <col min="8" max="8" width="11" bestFit="1" customWidth="1"/>
    <col min="9" max="9" width="23.42578125" customWidth="1"/>
    <col min="10" max="10" width="23.5703125" customWidth="1"/>
    <col min="11" max="11" width="21.28515625" customWidth="1"/>
    <col min="12" max="12" width="23.28515625" customWidth="1"/>
    <col min="13" max="13" width="20.7109375" customWidth="1"/>
    <col min="14" max="14" width="19.5703125" customWidth="1"/>
    <col min="15" max="15" width="23.28515625" customWidth="1"/>
  </cols>
  <sheetData>
    <row r="1" spans="2:21" ht="15.75" customHeight="1" thickBot="1" x14ac:dyDescent="0.3">
      <c r="I1" s="8"/>
      <c r="O1" s="8"/>
    </row>
    <row r="2" spans="2:21" s="8" customFormat="1" ht="24.75" customHeight="1" x14ac:dyDescent="0.25">
      <c r="B2" s="101" t="s">
        <v>87</v>
      </c>
      <c r="C2" s="102"/>
      <c r="D2" s="102"/>
      <c r="E2" s="102"/>
      <c r="F2" s="103"/>
    </row>
    <row r="3" spans="2:21" s="8" customFormat="1" ht="24" customHeight="1" x14ac:dyDescent="0.25">
      <c r="B3" s="52"/>
      <c r="C3" s="75" t="s">
        <v>91</v>
      </c>
      <c r="D3" s="75" t="s">
        <v>92</v>
      </c>
      <c r="E3" s="75" t="s">
        <v>94</v>
      </c>
      <c r="F3" s="76" t="s">
        <v>93</v>
      </c>
    </row>
    <row r="4" spans="2:21" ht="15.75" customHeight="1" x14ac:dyDescent="0.25">
      <c r="B4" s="52" t="s">
        <v>111</v>
      </c>
      <c r="C4" s="61">
        <f>SUM(Pay!D29:D46)</f>
        <v>1325000</v>
      </c>
      <c r="D4" s="61">
        <f>SUM(Pay!E29:E46)</f>
        <v>1215000</v>
      </c>
      <c r="E4" s="61">
        <f>SUM(Pay!F29:F46)</f>
        <v>1685000</v>
      </c>
      <c r="F4" s="61">
        <f>SUM(Pay!G29:G46)</f>
        <v>1605000</v>
      </c>
      <c r="G4" s="77"/>
    </row>
    <row r="5" spans="2:21" ht="15.75" customHeight="1" x14ac:dyDescent="0.25">
      <c r="B5" s="52" t="s">
        <v>89</v>
      </c>
      <c r="C5" s="61">
        <f>AVERAGE(Pay!D29:D47)</f>
        <v>73611.111111111109</v>
      </c>
      <c r="D5" s="61">
        <f>AVERAGE(Pay!$E$29:$E$46)</f>
        <v>67500</v>
      </c>
      <c r="E5" s="61">
        <f>AVERAGE(Pay!$F$29:$F$46)</f>
        <v>93611.111111111109</v>
      </c>
      <c r="F5" s="61">
        <f>AVERAGE(Pay!G29:G47)</f>
        <v>89166.666666666672</v>
      </c>
      <c r="G5" s="77"/>
    </row>
    <row r="6" spans="2:21" ht="15.75" customHeight="1" x14ac:dyDescent="0.25">
      <c r="B6" s="52" t="s">
        <v>90</v>
      </c>
      <c r="C6" s="61">
        <f>MAX(Pay!D29:D46)</f>
        <v>210000</v>
      </c>
      <c r="D6" s="61">
        <f>MAX(Pay!$E$29:$E$46)</f>
        <v>210000</v>
      </c>
      <c r="E6" s="61">
        <f>MAX(Pay!$F$29:$F$46)</f>
        <v>490000</v>
      </c>
      <c r="F6" s="61">
        <f>MAX(Pay!$G$29:$G$46)</f>
        <v>490000</v>
      </c>
      <c r="G6" s="77"/>
      <c r="I6" s="7"/>
      <c r="O6" s="7"/>
    </row>
    <row r="7" spans="2:21" s="8" customFormat="1" ht="15.75" customHeight="1" x14ac:dyDescent="0.25">
      <c r="B7" s="52" t="s">
        <v>106</v>
      </c>
      <c r="C7" s="61">
        <f>LARGE(Pay!$D$29:$D$46,2)</f>
        <v>160000</v>
      </c>
      <c r="D7" s="61">
        <f>LARGE(Pay!$E$29:$E$46,2)</f>
        <v>160000</v>
      </c>
      <c r="E7" s="61">
        <f>LARGE(Pay!$F$29:$F$46,2)</f>
        <v>160000</v>
      </c>
      <c r="F7" s="61">
        <f>LARGE(Pay!$G$29:$G$46,2)</f>
        <v>160000</v>
      </c>
      <c r="G7" s="77"/>
      <c r="I7" s="7"/>
      <c r="O7"/>
    </row>
    <row r="8" spans="2:21" s="8" customFormat="1" ht="15.75" customHeight="1" x14ac:dyDescent="0.25">
      <c r="B8" s="52" t="s">
        <v>107</v>
      </c>
      <c r="C8" s="61">
        <f>LARGE(Pay!$D$29:$D$46,3)</f>
        <v>120000</v>
      </c>
      <c r="D8" s="61">
        <f>LARGE(Pay!$E$29:$E$46,3)</f>
        <v>120000</v>
      </c>
      <c r="E8" s="61">
        <f>LARGE(Pay!$F$29:$F$46,3)</f>
        <v>140000</v>
      </c>
      <c r="F8" s="61">
        <f>LARGE(Pay!$G$29:$G$46,3)</f>
        <v>120000</v>
      </c>
      <c r="G8" s="77"/>
      <c r="I8" s="7"/>
    </row>
    <row r="9" spans="2:21" s="8" customFormat="1" ht="15.75" customHeight="1" x14ac:dyDescent="0.25">
      <c r="B9" s="52" t="s">
        <v>108</v>
      </c>
      <c r="C9" s="61">
        <f>LARGE(Pay!$D$29:$D$46,4)</f>
        <v>100000</v>
      </c>
      <c r="D9" s="61">
        <f>LARGE(Pay!$E$29:$E$46,4)</f>
        <v>100000</v>
      </c>
      <c r="E9" s="61">
        <f>LARGE(Pay!$F$29:$F$46,4)</f>
        <v>120000</v>
      </c>
      <c r="F9" s="61">
        <f>LARGE(Pay!$G$29:$G$46,4)</f>
        <v>120000</v>
      </c>
      <c r="G9" s="77"/>
      <c r="I9" s="74"/>
      <c r="O9" s="7"/>
    </row>
    <row r="10" spans="2:21" s="8" customFormat="1" ht="15.75" customHeight="1" x14ac:dyDescent="0.25">
      <c r="B10" s="52" t="s">
        <v>112</v>
      </c>
      <c r="C10" s="61">
        <f>C4-(SUM(C6:C9))</f>
        <v>735000</v>
      </c>
      <c r="D10" s="61">
        <f t="shared" ref="D10:F10" si="0">D4-(SUM(D6:D9))</f>
        <v>625000</v>
      </c>
      <c r="E10" s="61">
        <f t="shared" si="0"/>
        <v>775000</v>
      </c>
      <c r="F10" s="61">
        <f t="shared" si="0"/>
        <v>715000</v>
      </c>
      <c r="G10" s="77"/>
      <c r="I10" s="6"/>
      <c r="O10" s="6"/>
    </row>
    <row r="11" spans="2:21" s="8" customFormat="1" ht="15.75" customHeight="1" x14ac:dyDescent="0.25">
      <c r="B11" s="52" t="s">
        <v>113</v>
      </c>
      <c r="C11" s="42" t="str">
        <f>VLOOKUP(C6,CHOOSE({1,2},Pay!D29:D46,Pay!$C$29:$C$46),2,FALSE)</f>
        <v xml:space="preserve">Kem </v>
      </c>
      <c r="D11" s="42" t="str">
        <f>VLOOKUP(D6,CHOOSE({1,2},Pay!E29:E46,Pay!$C$29:$C$46),2,FALSE)</f>
        <v xml:space="preserve">Kem </v>
      </c>
      <c r="E11" s="42" t="str">
        <f>VLOOKUP(E6,CHOOSE({1,2},Pay!F29:F46,Pay!$C$29:$C$46),2,FALSE)</f>
        <v xml:space="preserve">Kem </v>
      </c>
      <c r="F11" s="42" t="str">
        <f>VLOOKUP(F6,CHOOSE({1,2},Pay!G29:G46,Pay!$C$29:$C$46),2,FALSE)</f>
        <v xml:space="preserve">Kem </v>
      </c>
      <c r="G11" s="77"/>
      <c r="I11" s="6"/>
      <c r="O11" s="6"/>
    </row>
    <row r="12" spans="2:21" s="8" customFormat="1" ht="15.75" customHeight="1" x14ac:dyDescent="0.25">
      <c r="B12" s="52" t="s">
        <v>114</v>
      </c>
      <c r="C12" s="42" t="str">
        <f>VLOOKUP(C7,CHOOSE({1,2},Pay!D30:D47,Pay!C30:C47),2,FALSE)</f>
        <v>Quế</v>
      </c>
      <c r="D12" s="42" t="str">
        <f>VLOOKUP(D7,CHOOSE({1,2},Pay!E30:E47,Pay!C30:C47),2,FALSE)</f>
        <v>Quế</v>
      </c>
      <c r="E12" s="42" t="str">
        <f>VLOOKUP(E7,CHOOSE({1,2},Pay!F30:F47,Pay!C30:C47),2,FALSE)</f>
        <v>Quế</v>
      </c>
      <c r="F12" s="42" t="str">
        <f>VLOOKUP(F7,CHOOSE({1,2},Pay!G29:G46,Pay!C29:C46),2,FALSE)</f>
        <v>Quế</v>
      </c>
      <c r="G12" s="77"/>
      <c r="I12" s="6"/>
      <c r="O12" s="6"/>
    </row>
    <row r="13" spans="2:21" s="8" customFormat="1" ht="15.75" customHeight="1" x14ac:dyDescent="0.25">
      <c r="B13" s="52" t="s">
        <v>115</v>
      </c>
      <c r="C13" s="42" t="str">
        <f>VLOOKUP(C8,CHOOSE({1,2},Pay!D31:D48,Pay!C31:C48),2,FALSE)</f>
        <v>Bột vỏ chanh</v>
      </c>
      <c r="D13" s="42" t="str">
        <f>VLOOKUP(D8,CHOOSE({1,2},Pay!E31:E48,Pay!C31:C48),2,FALSE)</f>
        <v>Bột vỏ chanh</v>
      </c>
      <c r="E13" s="42" t="str">
        <f>VLOOKUP(E8,CHOOSE({1,2},Pay!F31:F48,Pay!C31:C48),2,FALSE)</f>
        <v>Chocolate chips</v>
      </c>
      <c r="F13" s="42" t="str">
        <f>VLOOKUP(F8,CHOOSE({1,2},Pay!G29:G46,Pay!$C$29:$C$46),2,FALSE)</f>
        <v>Bột mì</v>
      </c>
      <c r="G13" s="77"/>
      <c r="I13" s="6"/>
      <c r="J13" s="6"/>
      <c r="K13" s="6"/>
      <c r="L13" s="6"/>
      <c r="M13" s="6"/>
      <c r="N13" s="6"/>
      <c r="O13" s="6"/>
    </row>
    <row r="14" spans="2:21" ht="15.75" customHeight="1" thickBot="1" x14ac:dyDescent="0.3">
      <c r="B14" s="55" t="s">
        <v>116</v>
      </c>
      <c r="C14" s="42" t="str">
        <f>VLOOKUP(C9,CHOOSE({1,2},Pay!D32:D49,Pay!C32:C49),2,FALSE)</f>
        <v>Chocolate chips</v>
      </c>
      <c r="D14" s="42" t="str">
        <f>VLOOKUP(D9,CHOOSE({1,2},Pay!E32:E49,Pay!C32:C49),2,FALSE)</f>
        <v>Vani</v>
      </c>
      <c r="E14" s="42" t="str">
        <f>VLOOKUP(E9,CHOOSE({1,2},Pay!F29:F46,Pay!C29:C46),2,FALSE)</f>
        <v>Bột mì</v>
      </c>
      <c r="F14" s="42" t="str">
        <f>VLOOKUP(F9,CHOOSE({1,2},Pay!G29:G46,Pay!C29:C46),2,FALSE)</f>
        <v>Bột mì</v>
      </c>
      <c r="G14" s="77"/>
      <c r="I14" s="6"/>
      <c r="J14" s="6"/>
      <c r="K14" s="6"/>
      <c r="L14" s="6"/>
      <c r="M14" s="6"/>
      <c r="N14" s="6"/>
      <c r="O14" s="6"/>
    </row>
    <row r="15" spans="2:21" ht="15.75" customHeight="1" x14ac:dyDescent="0.25">
      <c r="B15" s="77"/>
      <c r="C15" s="77"/>
      <c r="D15" s="77"/>
      <c r="E15" s="77"/>
      <c r="F15" s="77"/>
      <c r="G15" s="77"/>
      <c r="I15" s="6"/>
      <c r="J15" s="6"/>
      <c r="K15" s="6"/>
      <c r="L15" s="6"/>
      <c r="M15" s="6"/>
      <c r="N15" s="6"/>
      <c r="O15" s="6"/>
    </row>
    <row r="16" spans="2:21" ht="15.75" customHeight="1" x14ac:dyDescent="0.25">
      <c r="B16" s="77"/>
      <c r="C16" s="77"/>
      <c r="D16" s="77"/>
      <c r="E16" s="77"/>
      <c r="F16" s="77"/>
      <c r="G16" s="77"/>
      <c r="I16" s="6"/>
      <c r="J16" s="6"/>
      <c r="K16" s="6"/>
      <c r="L16" s="6"/>
      <c r="M16" s="6"/>
      <c r="N16" s="6"/>
      <c r="O16" s="6"/>
      <c r="P16" s="7"/>
      <c r="Q16" s="7"/>
      <c r="R16" s="7"/>
      <c r="S16" s="7"/>
      <c r="T16" s="7"/>
      <c r="U16" s="7"/>
    </row>
    <row r="17" spans="2:21" ht="15.75" customHeight="1" x14ac:dyDescent="0.25">
      <c r="B17" s="77"/>
      <c r="C17" s="77"/>
      <c r="D17" s="77"/>
      <c r="E17" s="77"/>
      <c r="F17" s="77"/>
      <c r="G17" s="77"/>
      <c r="I17" s="6"/>
      <c r="J17" s="6"/>
      <c r="K17" s="6"/>
      <c r="L17" s="6"/>
      <c r="M17" s="6"/>
      <c r="N17" s="6"/>
      <c r="O17" s="6"/>
      <c r="R17" s="7"/>
      <c r="S17" s="7"/>
      <c r="T17" s="7"/>
      <c r="U17" s="7"/>
    </row>
    <row r="18" spans="2:21" ht="15.75" customHeight="1" x14ac:dyDescent="0.25">
      <c r="B18" s="77"/>
      <c r="C18" s="77"/>
      <c r="D18" s="77"/>
      <c r="E18" s="77"/>
      <c r="F18" s="77"/>
      <c r="G18" s="77"/>
      <c r="I18" s="6"/>
      <c r="J18" s="6"/>
      <c r="K18" s="6"/>
      <c r="L18" s="6"/>
      <c r="M18" s="6"/>
      <c r="N18" s="6"/>
      <c r="O18" s="6"/>
      <c r="P18" s="74"/>
      <c r="Q18" s="7"/>
      <c r="R18" s="7"/>
      <c r="S18" s="7"/>
      <c r="T18" s="7"/>
      <c r="U18" s="7"/>
    </row>
    <row r="19" spans="2:21" ht="15.75" customHeight="1" thickBot="1" x14ac:dyDescent="0.3">
      <c r="B19" s="6"/>
      <c r="C19" s="6"/>
      <c r="D19" s="6"/>
      <c r="E19" s="6"/>
      <c r="F19" s="6"/>
      <c r="G19" s="6"/>
      <c r="H19" s="6"/>
      <c r="I19" s="6"/>
      <c r="J19" s="6"/>
      <c r="L19" s="6"/>
      <c r="M19" s="6"/>
      <c r="N19" s="6"/>
      <c r="O19" s="6"/>
      <c r="P19" s="6"/>
      <c r="Q19" s="6"/>
    </row>
    <row r="20" spans="2:21" ht="24.75" customHeight="1" x14ac:dyDescent="0.25">
      <c r="B20" s="113" t="s">
        <v>117</v>
      </c>
      <c r="C20" s="114"/>
      <c r="D20" s="114"/>
      <c r="E20" s="114"/>
      <c r="F20" s="114"/>
      <c r="G20" s="115"/>
      <c r="H20" s="6"/>
      <c r="I20" s="113" t="s">
        <v>103</v>
      </c>
      <c r="J20" s="114"/>
      <c r="K20" s="114"/>
      <c r="L20" s="114"/>
      <c r="M20" s="115"/>
      <c r="N20" s="6"/>
      <c r="O20" s="6"/>
      <c r="P20" s="6"/>
      <c r="Q20" s="6"/>
    </row>
    <row r="21" spans="2:21" ht="15.75" customHeight="1" x14ac:dyDescent="0.25">
      <c r="B21" s="57"/>
      <c r="C21" s="6"/>
      <c r="D21" s="6"/>
      <c r="E21" s="6"/>
      <c r="F21" s="6"/>
      <c r="G21" s="54"/>
      <c r="H21" s="6"/>
      <c r="I21" s="57"/>
      <c r="J21" s="6"/>
      <c r="K21" s="6"/>
      <c r="L21" s="6"/>
      <c r="M21" s="54"/>
      <c r="N21" s="6"/>
      <c r="O21" s="6"/>
      <c r="P21" s="6"/>
      <c r="Q21" s="6"/>
    </row>
    <row r="22" spans="2:21" ht="15.75" customHeight="1" x14ac:dyDescent="0.25">
      <c r="B22" s="57"/>
      <c r="C22" s="6"/>
      <c r="D22" s="6"/>
      <c r="E22" s="6"/>
      <c r="F22" s="6"/>
      <c r="G22" s="54"/>
      <c r="H22" s="6"/>
      <c r="I22" s="57"/>
      <c r="J22" s="6"/>
      <c r="K22" s="6"/>
      <c r="L22" s="6"/>
      <c r="M22" s="54"/>
      <c r="N22" s="6"/>
      <c r="O22" s="6"/>
      <c r="P22" s="6"/>
    </row>
    <row r="23" spans="2:21" ht="15.75" customHeight="1" x14ac:dyDescent="0.25">
      <c r="B23" s="57"/>
      <c r="C23" s="6"/>
      <c r="D23" s="6"/>
      <c r="E23" s="6"/>
      <c r="F23" s="6"/>
      <c r="G23" s="54"/>
      <c r="H23" s="6"/>
      <c r="I23" s="57"/>
      <c r="J23" s="6"/>
      <c r="K23" s="6"/>
      <c r="L23" s="6"/>
      <c r="M23" s="54"/>
      <c r="N23" s="6"/>
      <c r="P23" s="6"/>
    </row>
    <row r="24" spans="2:21" ht="15.75" customHeight="1" x14ac:dyDescent="0.25">
      <c r="B24" s="57"/>
      <c r="C24" s="6"/>
      <c r="D24" s="6"/>
      <c r="E24" s="6"/>
      <c r="F24" s="6"/>
      <c r="G24" s="54"/>
      <c r="H24" s="6"/>
      <c r="I24" s="57"/>
      <c r="J24" s="6"/>
      <c r="K24" s="6"/>
      <c r="L24" s="6"/>
      <c r="M24" s="54"/>
      <c r="N24" s="6"/>
      <c r="O24" s="6"/>
      <c r="P24" s="6"/>
    </row>
    <row r="25" spans="2:21" ht="15.75" customHeight="1" x14ac:dyDescent="0.25">
      <c r="B25" s="57"/>
      <c r="C25" s="6"/>
      <c r="D25" s="6"/>
      <c r="E25" s="6"/>
      <c r="F25" s="6"/>
      <c r="G25" s="54"/>
      <c r="H25" s="6"/>
      <c r="I25" s="57"/>
      <c r="J25" s="6"/>
      <c r="K25" s="6"/>
      <c r="L25" s="6"/>
      <c r="M25" s="54"/>
      <c r="N25" s="6"/>
      <c r="O25" s="6"/>
      <c r="P25" s="6"/>
    </row>
    <row r="26" spans="2:21" ht="15.75" customHeight="1" x14ac:dyDescent="0.25">
      <c r="B26" s="57"/>
      <c r="C26" s="6"/>
      <c r="D26" s="6"/>
      <c r="E26" s="6"/>
      <c r="F26" s="6"/>
      <c r="G26" s="54"/>
      <c r="H26" s="6"/>
      <c r="I26" s="57"/>
      <c r="J26" s="6"/>
      <c r="K26" s="6"/>
      <c r="L26" s="6"/>
      <c r="M26" s="54"/>
      <c r="N26" s="6"/>
      <c r="O26" s="6"/>
      <c r="P26" s="6"/>
    </row>
    <row r="27" spans="2:21" ht="15.75" customHeight="1" x14ac:dyDescent="0.25">
      <c r="B27" s="57"/>
      <c r="C27" s="6"/>
      <c r="D27" s="6"/>
      <c r="E27" s="6"/>
      <c r="F27" s="6"/>
      <c r="G27" s="54"/>
      <c r="H27" s="6"/>
      <c r="I27" s="57"/>
      <c r="J27" s="6"/>
      <c r="K27" s="6"/>
      <c r="L27" s="6"/>
      <c r="M27" s="54"/>
      <c r="N27" s="6"/>
      <c r="O27" s="6"/>
      <c r="P27" s="6"/>
    </row>
    <row r="28" spans="2:21" ht="15.75" customHeight="1" x14ac:dyDescent="0.25">
      <c r="B28" s="57"/>
      <c r="C28" s="6"/>
      <c r="D28" s="6"/>
      <c r="E28" s="6"/>
      <c r="F28" s="6"/>
      <c r="G28" s="54"/>
      <c r="H28" s="6"/>
      <c r="I28" s="57"/>
      <c r="J28" s="6"/>
      <c r="K28" s="6"/>
      <c r="L28" s="6"/>
      <c r="M28" s="54"/>
      <c r="N28" s="6"/>
      <c r="O28" s="6"/>
      <c r="P28" s="6"/>
    </row>
    <row r="29" spans="2:21" ht="15.75" customHeight="1" x14ac:dyDescent="0.25">
      <c r="B29" s="57"/>
      <c r="C29" s="6"/>
      <c r="D29" s="6"/>
      <c r="E29" s="6"/>
      <c r="F29" s="6"/>
      <c r="G29" s="54"/>
      <c r="H29" s="6"/>
      <c r="I29" s="57"/>
      <c r="J29" s="6"/>
      <c r="K29" s="6"/>
      <c r="L29" s="6"/>
      <c r="M29" s="54"/>
      <c r="N29" s="6"/>
      <c r="O29" s="6"/>
      <c r="P29" s="6"/>
    </row>
    <row r="30" spans="2:21" ht="15.75" customHeight="1" x14ac:dyDescent="0.25">
      <c r="B30" s="57"/>
      <c r="C30" s="6"/>
      <c r="D30" s="6"/>
      <c r="E30" s="6"/>
      <c r="F30" s="6"/>
      <c r="G30" s="54"/>
      <c r="H30" s="6"/>
      <c r="I30" s="57"/>
      <c r="J30" s="6"/>
      <c r="K30" s="6"/>
      <c r="L30" s="6"/>
      <c r="M30" s="54"/>
      <c r="N30" s="6"/>
      <c r="O30" s="6"/>
      <c r="P30" s="6"/>
    </row>
    <row r="31" spans="2:21" ht="15.75" customHeight="1" x14ac:dyDescent="0.25">
      <c r="B31" s="57"/>
      <c r="C31" s="6"/>
      <c r="D31" s="6"/>
      <c r="E31" s="6"/>
      <c r="F31" s="6"/>
      <c r="G31" s="54"/>
      <c r="H31" s="6"/>
      <c r="I31" s="57"/>
      <c r="J31" s="6"/>
      <c r="K31" s="6"/>
      <c r="L31" s="6"/>
      <c r="M31" s="54"/>
      <c r="N31" s="6"/>
      <c r="O31" s="6"/>
      <c r="P31" s="6"/>
    </row>
    <row r="32" spans="2:21" ht="15.75" customHeight="1" x14ac:dyDescent="0.25">
      <c r="B32" s="57"/>
      <c r="C32" s="6"/>
      <c r="D32" s="6"/>
      <c r="E32" s="6"/>
      <c r="F32" s="6"/>
      <c r="G32" s="54"/>
      <c r="H32" s="6"/>
      <c r="I32" s="57"/>
      <c r="J32" s="6"/>
      <c r="K32" s="6"/>
      <c r="L32" s="6"/>
      <c r="M32" s="54"/>
      <c r="N32" s="6"/>
      <c r="O32" s="6"/>
      <c r="P32" s="6"/>
    </row>
    <row r="33" spans="2:16" ht="15.75" customHeight="1" x14ac:dyDescent="0.25">
      <c r="B33" s="57"/>
      <c r="C33" s="6"/>
      <c r="D33" s="6"/>
      <c r="E33" s="6"/>
      <c r="F33" s="6"/>
      <c r="G33" s="54"/>
      <c r="H33" s="6"/>
      <c r="I33" s="57"/>
      <c r="J33" s="6"/>
      <c r="K33" s="6"/>
      <c r="L33" s="6"/>
      <c r="M33" s="54"/>
      <c r="N33" s="6"/>
      <c r="O33" s="6"/>
      <c r="P33" s="6"/>
    </row>
    <row r="34" spans="2:16" ht="15.75" customHeight="1" x14ac:dyDescent="0.25">
      <c r="B34" s="57"/>
      <c r="C34" s="6"/>
      <c r="D34" s="6"/>
      <c r="E34" s="6"/>
      <c r="F34" s="6"/>
      <c r="G34" s="54"/>
      <c r="H34" s="6"/>
      <c r="I34" s="57"/>
      <c r="J34" s="6"/>
      <c r="K34" s="6"/>
      <c r="L34" s="6"/>
      <c r="M34" s="54"/>
      <c r="N34" s="6"/>
      <c r="O34" s="6"/>
      <c r="P34" s="6"/>
    </row>
    <row r="35" spans="2:16" ht="15.75" customHeight="1" x14ac:dyDescent="0.25">
      <c r="B35" s="57"/>
      <c r="C35" s="6"/>
      <c r="D35" s="6"/>
      <c r="E35" s="6"/>
      <c r="F35" s="6"/>
      <c r="G35" s="54"/>
      <c r="H35" s="6"/>
      <c r="I35" s="57"/>
      <c r="J35" s="6"/>
      <c r="K35" s="6"/>
      <c r="L35" s="6"/>
      <c r="M35" s="54"/>
      <c r="N35" s="6"/>
      <c r="O35" s="6"/>
      <c r="P35" s="6"/>
    </row>
    <row r="36" spans="2:16" ht="15.75" customHeight="1" x14ac:dyDescent="0.25">
      <c r="B36" s="57"/>
      <c r="C36" s="6"/>
      <c r="D36" s="6"/>
      <c r="E36" s="6"/>
      <c r="F36" s="6"/>
      <c r="G36" s="54"/>
      <c r="H36" s="6"/>
      <c r="I36" s="57"/>
      <c r="J36" s="6"/>
      <c r="K36" s="6"/>
      <c r="L36" s="6"/>
      <c r="M36" s="54"/>
      <c r="N36" s="6"/>
      <c r="O36" s="6"/>
      <c r="P36" s="6"/>
    </row>
    <row r="37" spans="2:16" ht="15.75" customHeight="1" x14ac:dyDescent="0.25">
      <c r="B37" s="57"/>
      <c r="C37" s="6"/>
      <c r="D37" s="6"/>
      <c r="E37" s="6"/>
      <c r="F37" s="6"/>
      <c r="G37" s="54"/>
      <c r="H37" s="6"/>
      <c r="I37" s="57"/>
      <c r="J37" s="6"/>
      <c r="K37" s="6"/>
      <c r="L37" s="6"/>
      <c r="M37" s="54"/>
      <c r="N37" s="6"/>
      <c r="O37" s="6"/>
      <c r="P37" s="6"/>
    </row>
    <row r="38" spans="2:16" ht="15.75" customHeight="1" x14ac:dyDescent="0.25">
      <c r="B38" s="57"/>
      <c r="C38" s="6"/>
      <c r="D38" s="6"/>
      <c r="E38" s="6"/>
      <c r="F38" s="6"/>
      <c r="G38" s="54"/>
      <c r="H38" s="6"/>
      <c r="I38" s="57"/>
      <c r="J38" s="6"/>
      <c r="K38" s="6"/>
      <c r="L38" s="6"/>
      <c r="M38" s="54"/>
      <c r="N38" s="6"/>
      <c r="O38" s="6"/>
      <c r="P38" s="6"/>
    </row>
    <row r="39" spans="2:16" ht="15.75" customHeight="1" x14ac:dyDescent="0.25">
      <c r="B39" s="57"/>
      <c r="C39" s="6"/>
      <c r="D39" s="6"/>
      <c r="E39" s="6"/>
      <c r="F39" s="6"/>
      <c r="G39" s="54"/>
      <c r="H39" s="6"/>
      <c r="I39" s="57"/>
      <c r="J39" s="6"/>
      <c r="K39" s="6"/>
      <c r="L39" s="6"/>
      <c r="M39" s="54"/>
      <c r="N39" s="6"/>
      <c r="O39" s="6"/>
      <c r="P39" s="6"/>
    </row>
    <row r="40" spans="2:16" ht="15.75" customHeight="1" x14ac:dyDescent="0.25">
      <c r="B40" s="57"/>
      <c r="C40" s="6"/>
      <c r="D40" s="6"/>
      <c r="E40" s="6"/>
      <c r="F40" s="6"/>
      <c r="G40" s="54"/>
      <c r="H40" s="6"/>
      <c r="I40" s="57"/>
      <c r="J40" s="6"/>
      <c r="K40" s="6"/>
      <c r="L40" s="6"/>
      <c r="M40" s="54"/>
      <c r="N40" s="6"/>
      <c r="O40" s="6"/>
      <c r="P40" s="6"/>
    </row>
    <row r="41" spans="2:16" ht="15.75" customHeight="1" x14ac:dyDescent="0.25">
      <c r="B41" s="57"/>
      <c r="C41" s="6"/>
      <c r="D41" s="6"/>
      <c r="E41" s="6"/>
      <c r="F41" s="6"/>
      <c r="G41" s="54"/>
      <c r="H41" s="6"/>
      <c r="I41" s="57"/>
      <c r="J41" s="6"/>
      <c r="K41" s="6"/>
      <c r="L41" s="6"/>
      <c r="M41" s="54"/>
      <c r="N41" s="6"/>
      <c r="O41" s="6"/>
      <c r="P41" s="6"/>
    </row>
    <row r="42" spans="2:16" ht="15.75" customHeight="1" x14ac:dyDescent="0.25">
      <c r="B42" s="57"/>
      <c r="C42" s="6"/>
      <c r="D42" s="6"/>
      <c r="E42" s="6"/>
      <c r="F42" s="6"/>
      <c r="G42" s="54"/>
      <c r="H42" s="6"/>
      <c r="I42" s="57"/>
      <c r="J42" s="6"/>
      <c r="K42" s="6"/>
      <c r="L42" s="6"/>
      <c r="M42" s="54"/>
      <c r="N42" s="6"/>
      <c r="O42" s="6"/>
      <c r="P42" s="6"/>
    </row>
    <row r="43" spans="2:16" ht="15.75" customHeight="1" x14ac:dyDescent="0.25">
      <c r="B43" s="57"/>
      <c r="C43" s="6"/>
      <c r="D43" s="6"/>
      <c r="E43" s="6"/>
      <c r="F43" s="6"/>
      <c r="G43" s="54"/>
      <c r="H43" s="6"/>
      <c r="I43" s="57"/>
      <c r="J43" s="6"/>
      <c r="K43" s="6"/>
      <c r="L43" s="6"/>
      <c r="M43" s="54"/>
      <c r="N43" s="6"/>
      <c r="O43" s="6"/>
      <c r="P43" s="6"/>
    </row>
    <row r="44" spans="2:16" ht="15.75" customHeight="1" x14ac:dyDescent="0.25">
      <c r="B44" s="57"/>
      <c r="C44" s="6"/>
      <c r="D44" s="6"/>
      <c r="E44" s="6"/>
      <c r="F44" s="6"/>
      <c r="G44" s="54"/>
      <c r="H44" s="6"/>
      <c r="I44" s="57"/>
      <c r="J44" s="6"/>
      <c r="K44" s="6"/>
      <c r="L44" s="6"/>
      <c r="M44" s="54"/>
      <c r="N44" s="6"/>
      <c r="O44" s="6"/>
      <c r="P44" s="6"/>
    </row>
    <row r="45" spans="2:16" ht="15.75" customHeight="1" x14ac:dyDescent="0.25">
      <c r="B45" s="57"/>
      <c r="C45" s="6"/>
      <c r="D45" s="6"/>
      <c r="E45" s="6"/>
      <c r="F45" s="6"/>
      <c r="G45" s="54"/>
      <c r="H45" s="6"/>
      <c r="I45" s="57"/>
      <c r="J45" s="6"/>
      <c r="K45" s="6"/>
      <c r="L45" s="6"/>
      <c r="M45" s="54"/>
      <c r="N45" s="6"/>
      <c r="O45" s="6"/>
      <c r="P45" s="6"/>
    </row>
    <row r="46" spans="2:16" ht="15.75" customHeight="1" x14ac:dyDescent="0.25">
      <c r="B46" s="57"/>
      <c r="C46" s="6"/>
      <c r="D46" s="6"/>
      <c r="E46" s="6"/>
      <c r="F46" s="6"/>
      <c r="G46" s="54"/>
      <c r="H46" s="6"/>
      <c r="I46" s="57"/>
      <c r="J46" s="6"/>
      <c r="K46" s="6"/>
      <c r="L46" s="6"/>
      <c r="M46" s="54"/>
      <c r="N46" s="6"/>
      <c r="O46" s="6"/>
      <c r="P46" s="6"/>
    </row>
    <row r="47" spans="2:16" ht="15.75" customHeight="1" thickBot="1" x14ac:dyDescent="0.3">
      <c r="B47" s="58"/>
      <c r="C47" s="40"/>
      <c r="D47" s="40"/>
      <c r="E47" s="40"/>
      <c r="F47" s="40"/>
      <c r="G47" s="41"/>
      <c r="H47" s="6"/>
      <c r="I47" s="58"/>
      <c r="J47" s="40"/>
      <c r="K47" s="40"/>
      <c r="L47" s="40"/>
      <c r="M47" s="41"/>
    </row>
    <row r="48" spans="2:16" ht="15.75" customHeight="1" x14ac:dyDescent="0.25"/>
    <row r="49" ht="15.75" customHeight="1" x14ac:dyDescent="0.25"/>
    <row r="50" ht="15.75" customHeight="1" x14ac:dyDescent="0.25"/>
  </sheetData>
  <mergeCells count="3">
    <mergeCell ref="B2:F2"/>
    <mergeCell ref="I20:M20"/>
    <mergeCell ref="B20:G20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9"/>
  <sheetViews>
    <sheetView workbookViewId="0">
      <selection activeCell="I3" sqref="H3:I3"/>
    </sheetView>
  </sheetViews>
  <sheetFormatPr defaultRowHeight="15" x14ac:dyDescent="0.25"/>
  <cols>
    <col min="1" max="1" width="15" bestFit="1" customWidth="1"/>
    <col min="2" max="2" width="16.140625" bestFit="1" customWidth="1"/>
    <col min="3" max="3" width="25.7109375" bestFit="1" customWidth="1"/>
    <col min="4" max="4" width="14.140625" bestFit="1" customWidth="1"/>
    <col min="5" max="5" width="20" bestFit="1" customWidth="1"/>
    <col min="6" max="6" width="23.7109375" bestFit="1" customWidth="1"/>
    <col min="7" max="7" width="22" customWidth="1"/>
  </cols>
  <sheetData>
    <row r="1" spans="1:7" x14ac:dyDescent="0.25">
      <c r="A1" s="81" t="s">
        <v>84</v>
      </c>
      <c r="B1" s="81" t="s">
        <v>74</v>
      </c>
      <c r="C1" s="81" t="s">
        <v>75</v>
      </c>
      <c r="D1" s="81" t="s">
        <v>76</v>
      </c>
      <c r="E1" s="81" t="s">
        <v>77</v>
      </c>
      <c r="F1" s="81" t="s">
        <v>79</v>
      </c>
      <c r="G1" s="84" t="s">
        <v>78</v>
      </c>
    </row>
    <row r="2" spans="1:7" x14ac:dyDescent="0.25">
      <c r="A2" s="82" t="str">
        <f>Unit!B6</f>
        <v>Trứng</v>
      </c>
      <c r="B2" s="83">
        <f t="shared" ref="B2:B19" si="0">IFERROR(VLOOKUP($A2,danhsach_banhquy,2,FALSE),0)</f>
        <v>2</v>
      </c>
      <c r="C2" s="82">
        <f t="shared" ref="C2:C19" si="1">IFERROR(VLOOKUP($A2,danhsach_banhnuong,2,FALSE),0)</f>
        <v>1</v>
      </c>
      <c r="D2" s="82">
        <f t="shared" ref="D2:D19" si="2">IFERROR(VLOOKUP($A2,danhsach_banhgung,2,FALSE), 0)</f>
        <v>1</v>
      </c>
      <c r="E2" s="82">
        <f t="shared" ref="E2:E19" si="3">IFERROR(VLOOKUP($A2,danhsach_sungbo,2,FALSE),0)</f>
        <v>1</v>
      </c>
      <c r="F2" s="82">
        <f t="shared" ref="F2:F19" si="4">IFERROR(VLOOKUP($A2,danhsach_congthucmoi,2,FALSE),0)</f>
        <v>0</v>
      </c>
      <c r="G2" s="82">
        <f t="shared" ref="G2:G19" si="5">IFERROR(VLOOKUP($A2,danhsach_banhque,2,FALSE),0)</f>
        <v>1</v>
      </c>
    </row>
    <row r="3" spans="1:7" x14ac:dyDescent="0.25">
      <c r="A3" s="82" t="str">
        <f>Unit!B7</f>
        <v>Đường</v>
      </c>
      <c r="B3" s="83">
        <f t="shared" si="0"/>
        <v>0.75</v>
      </c>
      <c r="C3" s="82">
        <f t="shared" si="1"/>
        <v>0.5</v>
      </c>
      <c r="D3" s="82">
        <f t="shared" si="2"/>
        <v>1</v>
      </c>
      <c r="E3" s="82">
        <f t="shared" si="3"/>
        <v>0.25</v>
      </c>
      <c r="F3" s="82">
        <f t="shared" si="4"/>
        <v>0</v>
      </c>
      <c r="G3" s="82">
        <f t="shared" si="5"/>
        <v>0.25</v>
      </c>
    </row>
    <row r="4" spans="1:7" x14ac:dyDescent="0.25">
      <c r="A4" s="82" t="str">
        <f>Unit!B8</f>
        <v>Bột mì</v>
      </c>
      <c r="B4" s="83">
        <f t="shared" si="0"/>
        <v>2.25</v>
      </c>
      <c r="C4" s="82">
        <f t="shared" si="1"/>
        <v>2</v>
      </c>
      <c r="D4" s="82">
        <f t="shared" si="2"/>
        <v>0</v>
      </c>
      <c r="E4" s="82">
        <f t="shared" si="3"/>
        <v>4</v>
      </c>
      <c r="F4" s="82">
        <f t="shared" si="4"/>
        <v>0</v>
      </c>
      <c r="G4" s="82">
        <f t="shared" si="5"/>
        <v>4</v>
      </c>
    </row>
    <row r="5" spans="1:7" x14ac:dyDescent="0.25">
      <c r="A5" s="82" t="str">
        <f>Unit!B9</f>
        <v>Baking soda</v>
      </c>
      <c r="B5" s="83">
        <f t="shared" si="0"/>
        <v>1</v>
      </c>
      <c r="C5" s="82">
        <f t="shared" si="1"/>
        <v>0</v>
      </c>
      <c r="D5" s="82">
        <f t="shared" si="2"/>
        <v>1</v>
      </c>
      <c r="E5" s="82">
        <f t="shared" si="3"/>
        <v>0</v>
      </c>
      <c r="F5" s="82">
        <f t="shared" si="4"/>
        <v>0</v>
      </c>
      <c r="G5" s="82">
        <f t="shared" si="5"/>
        <v>0</v>
      </c>
    </row>
    <row r="6" spans="1:7" x14ac:dyDescent="0.25">
      <c r="A6" s="82" t="str">
        <f>Unit!B10</f>
        <v>Bột nở</v>
      </c>
      <c r="B6" s="83">
        <f t="shared" si="0"/>
        <v>0</v>
      </c>
      <c r="C6" s="82">
        <f t="shared" si="1"/>
        <v>1</v>
      </c>
      <c r="D6" s="82">
        <f t="shared" si="2"/>
        <v>0</v>
      </c>
      <c r="E6" s="82">
        <f t="shared" si="3"/>
        <v>0</v>
      </c>
      <c r="F6" s="82">
        <f t="shared" si="4"/>
        <v>0</v>
      </c>
      <c r="G6" s="82">
        <f t="shared" si="5"/>
        <v>0</v>
      </c>
    </row>
    <row r="7" spans="1:7" x14ac:dyDescent="0.25">
      <c r="A7" s="82" t="str">
        <f>Unit!B11</f>
        <v>Chocolate chips</v>
      </c>
      <c r="B7" s="83">
        <f t="shared" si="0"/>
        <v>12</v>
      </c>
      <c r="C7" s="82">
        <f t="shared" si="1"/>
        <v>0</v>
      </c>
      <c r="D7" s="82">
        <f t="shared" si="2"/>
        <v>0</v>
      </c>
      <c r="E7" s="82">
        <f t="shared" si="3"/>
        <v>4</v>
      </c>
      <c r="F7" s="82">
        <f t="shared" si="4"/>
        <v>0</v>
      </c>
      <c r="G7" s="82">
        <f t="shared" si="5"/>
        <v>0</v>
      </c>
    </row>
    <row r="8" spans="1:7" x14ac:dyDescent="0.25">
      <c r="A8" s="82" t="str">
        <f>Unit!B12</f>
        <v>Muối</v>
      </c>
      <c r="B8" s="83">
        <f t="shared" si="0"/>
        <v>0.5</v>
      </c>
      <c r="C8" s="82">
        <f t="shared" si="1"/>
        <v>0.5</v>
      </c>
      <c r="D8" s="82">
        <f t="shared" si="2"/>
        <v>0.25</v>
      </c>
      <c r="E8" s="82">
        <f t="shared" si="3"/>
        <v>2</v>
      </c>
      <c r="F8" s="82">
        <f t="shared" si="4"/>
        <v>0</v>
      </c>
      <c r="G8" s="82">
        <f t="shared" si="5"/>
        <v>1.5</v>
      </c>
    </row>
    <row r="9" spans="1:7" x14ac:dyDescent="0.25">
      <c r="A9" s="82" t="str">
        <f>Unit!B13</f>
        <v>Đường nâu</v>
      </c>
      <c r="B9" s="83">
        <f t="shared" si="0"/>
        <v>0.75</v>
      </c>
      <c r="C9" s="82">
        <f t="shared" si="1"/>
        <v>0</v>
      </c>
      <c r="D9" s="82">
        <f t="shared" si="2"/>
        <v>0</v>
      </c>
      <c r="E9" s="82">
        <f t="shared" si="3"/>
        <v>0</v>
      </c>
      <c r="F9" s="82">
        <f t="shared" si="4"/>
        <v>0</v>
      </c>
      <c r="G9" s="82">
        <f t="shared" si="5"/>
        <v>0.5</v>
      </c>
    </row>
    <row r="10" spans="1:7" x14ac:dyDescent="0.25">
      <c r="A10" s="82" t="str">
        <f>Unit!B14</f>
        <v>Đường mật</v>
      </c>
      <c r="B10" s="83">
        <f t="shared" si="0"/>
        <v>0</v>
      </c>
      <c r="C10" s="82">
        <f t="shared" si="1"/>
        <v>0</v>
      </c>
      <c r="D10" s="82">
        <f t="shared" si="2"/>
        <v>0.25</v>
      </c>
      <c r="E10" s="82">
        <f t="shared" si="3"/>
        <v>0</v>
      </c>
      <c r="F10" s="82">
        <f t="shared" si="4"/>
        <v>0</v>
      </c>
      <c r="G10" s="82">
        <f t="shared" si="5"/>
        <v>0</v>
      </c>
    </row>
    <row r="11" spans="1:7" x14ac:dyDescent="0.25">
      <c r="A11" s="82" t="str">
        <f>Unit!B15</f>
        <v>Bơ</v>
      </c>
      <c r="B11" s="83">
        <f t="shared" si="0"/>
        <v>0</v>
      </c>
      <c r="C11" s="82">
        <f t="shared" si="1"/>
        <v>0.5</v>
      </c>
      <c r="D11" s="82">
        <f t="shared" si="2"/>
        <v>0.75</v>
      </c>
      <c r="E11" s="82">
        <f t="shared" si="3"/>
        <v>0.25</v>
      </c>
      <c r="F11" s="82">
        <f t="shared" si="4"/>
        <v>0</v>
      </c>
      <c r="G11" s="82">
        <f t="shared" si="5"/>
        <v>0.25</v>
      </c>
    </row>
    <row r="12" spans="1:7" x14ac:dyDescent="0.25">
      <c r="A12" s="82" t="str">
        <f>Unit!B16</f>
        <v>Vani</v>
      </c>
      <c r="B12" s="83">
        <f t="shared" si="0"/>
        <v>1</v>
      </c>
      <c r="C12" s="82">
        <f t="shared" si="1"/>
        <v>0</v>
      </c>
      <c r="D12" s="82">
        <f t="shared" si="2"/>
        <v>0</v>
      </c>
      <c r="E12" s="82">
        <f t="shared" si="3"/>
        <v>0</v>
      </c>
      <c r="F12" s="82">
        <f t="shared" si="4"/>
        <v>0</v>
      </c>
      <c r="G12" s="82">
        <f t="shared" si="5"/>
        <v>0</v>
      </c>
    </row>
    <row r="13" spans="1:7" x14ac:dyDescent="0.25">
      <c r="A13" s="82" t="str">
        <f>Unit!B17</f>
        <v>Quế</v>
      </c>
      <c r="B13" s="83">
        <f t="shared" si="0"/>
        <v>0</v>
      </c>
      <c r="C13" s="82">
        <f t="shared" si="1"/>
        <v>0</v>
      </c>
      <c r="D13" s="82">
        <f t="shared" si="2"/>
        <v>0.75</v>
      </c>
      <c r="E13" s="82">
        <f t="shared" si="3"/>
        <v>0</v>
      </c>
      <c r="F13" s="82">
        <f t="shared" si="4"/>
        <v>0</v>
      </c>
      <c r="G13" s="82">
        <f t="shared" si="5"/>
        <v>4</v>
      </c>
    </row>
    <row r="14" spans="1:7" x14ac:dyDescent="0.25">
      <c r="A14" s="82" t="str">
        <f>Unit!B18</f>
        <v xml:space="preserve">Kem </v>
      </c>
      <c r="B14" s="83">
        <f t="shared" si="0"/>
        <v>0</v>
      </c>
      <c r="C14" s="82">
        <f t="shared" si="1"/>
        <v>0.5</v>
      </c>
      <c r="D14" s="82">
        <f t="shared" si="2"/>
        <v>0</v>
      </c>
      <c r="E14" s="82">
        <f t="shared" si="3"/>
        <v>2</v>
      </c>
      <c r="F14" s="82">
        <f t="shared" si="4"/>
        <v>0</v>
      </c>
      <c r="G14" s="82">
        <f t="shared" si="5"/>
        <v>0.5</v>
      </c>
    </row>
    <row r="15" spans="1:7" x14ac:dyDescent="0.25">
      <c r="A15" s="82" t="str">
        <f>Unit!B19</f>
        <v>Đường bột</v>
      </c>
      <c r="B15" s="83">
        <f t="shared" si="0"/>
        <v>0</v>
      </c>
      <c r="C15" s="82">
        <f t="shared" si="1"/>
        <v>1</v>
      </c>
      <c r="D15" s="82">
        <f t="shared" si="2"/>
        <v>0</v>
      </c>
      <c r="E15" s="82">
        <f t="shared" si="3"/>
        <v>0.25</v>
      </c>
      <c r="F15" s="82">
        <f t="shared" si="4"/>
        <v>0</v>
      </c>
      <c r="G15" s="82">
        <f t="shared" si="5"/>
        <v>0</v>
      </c>
    </row>
    <row r="16" spans="1:7" x14ac:dyDescent="0.25">
      <c r="A16" s="82" t="str">
        <f>Unit!B20</f>
        <v>Nước chanh</v>
      </c>
      <c r="B16" s="83">
        <f t="shared" si="0"/>
        <v>0</v>
      </c>
      <c r="C16" s="82">
        <f t="shared" si="1"/>
        <v>4</v>
      </c>
      <c r="D16" s="82">
        <f t="shared" si="2"/>
        <v>0</v>
      </c>
      <c r="E16" s="82">
        <f t="shared" si="3"/>
        <v>0</v>
      </c>
      <c r="F16" s="82">
        <f t="shared" si="4"/>
        <v>0</v>
      </c>
      <c r="G16" s="82">
        <f t="shared" si="5"/>
        <v>0</v>
      </c>
    </row>
    <row r="17" spans="1:7" x14ac:dyDescent="0.25">
      <c r="A17" s="82" t="str">
        <f>Unit!B21</f>
        <v>Bột vỏ chanh</v>
      </c>
      <c r="B17" s="83">
        <f t="shared" si="0"/>
        <v>0</v>
      </c>
      <c r="C17" s="82">
        <f t="shared" si="1"/>
        <v>1.5</v>
      </c>
      <c r="D17" s="82">
        <f t="shared" si="2"/>
        <v>0</v>
      </c>
      <c r="E17" s="82">
        <f t="shared" si="3"/>
        <v>0</v>
      </c>
      <c r="F17" s="82">
        <f t="shared" si="4"/>
        <v>0</v>
      </c>
      <c r="G17" s="82">
        <f t="shared" si="5"/>
        <v>0</v>
      </c>
    </row>
    <row r="18" spans="1:7" x14ac:dyDescent="0.25">
      <c r="A18" s="82" t="str">
        <f>Unit!B22</f>
        <v>Gừng bột</v>
      </c>
      <c r="B18" s="83">
        <f t="shared" si="0"/>
        <v>0</v>
      </c>
      <c r="C18" s="82">
        <f t="shared" si="1"/>
        <v>0</v>
      </c>
      <c r="D18" s="82">
        <f t="shared" si="2"/>
        <v>0.5</v>
      </c>
      <c r="E18" s="82">
        <f t="shared" si="3"/>
        <v>0</v>
      </c>
      <c r="F18" s="82">
        <f t="shared" si="4"/>
        <v>0</v>
      </c>
      <c r="G18" s="82">
        <f t="shared" si="5"/>
        <v>0</v>
      </c>
    </row>
    <row r="19" spans="1:7" x14ac:dyDescent="0.25">
      <c r="A19" s="82" t="str">
        <f>Unit!B23</f>
        <v>Men</v>
      </c>
      <c r="B19" s="83">
        <f t="shared" si="0"/>
        <v>0</v>
      </c>
      <c r="C19" s="82">
        <f t="shared" si="1"/>
        <v>0</v>
      </c>
      <c r="D19" s="82">
        <f t="shared" si="2"/>
        <v>0</v>
      </c>
      <c r="E19" s="82">
        <f t="shared" si="3"/>
        <v>1</v>
      </c>
      <c r="F19" s="82">
        <f t="shared" si="4"/>
        <v>0</v>
      </c>
      <c r="G19" s="82">
        <f t="shared" si="5"/>
        <v>0.25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Dashboard</vt:lpstr>
      <vt:lpstr>Unit</vt:lpstr>
      <vt:lpstr>Recipes</vt:lpstr>
      <vt:lpstr>Pay</vt:lpstr>
      <vt:lpstr>Statistic</vt:lpstr>
      <vt:lpstr>THNL</vt:lpstr>
      <vt:lpstr>danhsach_banhgung</vt:lpstr>
      <vt:lpstr>danhsach_banhnuong</vt:lpstr>
      <vt:lpstr>danhsach_banhque</vt:lpstr>
      <vt:lpstr>danhsach_banhquy</vt:lpstr>
      <vt:lpstr>danhsach_congthucmoi</vt:lpstr>
      <vt:lpstr>danhsach_sungbo</vt:lpstr>
      <vt:lpstr>DONVI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XuanDuc</cp:lastModifiedBy>
  <dcterms:created xsi:type="dcterms:W3CDTF">2021-01-26T02:50:36Z</dcterms:created>
  <dcterms:modified xsi:type="dcterms:W3CDTF">2023-03-02T03:05:18Z</dcterms:modified>
</cp:coreProperties>
</file>